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tor Scores" sheetId="1" r:id="rId5"/>
    <sheet state="visible" name="Ranking de Fragilidad" sheetId="2" r:id="rId6"/>
    <sheet state="visible" name="Países más empeorados y mejorad" sheetId="3" r:id="rId7"/>
    <sheet state="visible" name="Tendendencias" sheetId="4" r:id="rId8"/>
  </sheets>
  <definedNames/>
  <calcPr/>
</workbook>
</file>

<file path=xl/sharedStrings.xml><?xml version="1.0" encoding="utf-8"?>
<sst xmlns="http://schemas.openxmlformats.org/spreadsheetml/2006/main" count="1035" uniqueCount="201">
  <si>
    <t>FSI 2010 — Indicator Scores (Pág. 34)</t>
  </si>
  <si>
    <t>Rank</t>
  </si>
  <si>
    <t>País</t>
  </si>
  <si>
    <t>C1 Seg. Aparato</t>
  </si>
  <si>
    <t>C2 Elites Fac.</t>
  </si>
  <si>
    <t>C3 Agravios Grp.</t>
  </si>
  <si>
    <t>E1 Declive Ec.</t>
  </si>
  <si>
    <t>E2 Des. Desigual</t>
  </si>
  <si>
    <t>E3 Fuga Capital</t>
  </si>
  <si>
    <t>P1 Legitimidad</t>
  </si>
  <si>
    <t>P2 Serv. Públicos</t>
  </si>
  <si>
    <t>P3 Der. Humanos</t>
  </si>
  <si>
    <t>S1 Presión Demog.</t>
  </si>
  <si>
    <t>S2 Refugiados</t>
  </si>
  <si>
    <t>X1 Interv. Ext.</t>
  </si>
  <si>
    <t>Total</t>
  </si>
  <si>
    <t>Argentina</t>
  </si>
  <si>
    <t>Brazil</t>
  </si>
  <si>
    <t>Greece</t>
  </si>
  <si>
    <t>Italy</t>
  </si>
  <si>
    <t>Libya</t>
  </si>
  <si>
    <t>Spain</t>
  </si>
  <si>
    <t>Syria</t>
  </si>
  <si>
    <t>Venezuela</t>
  </si>
  <si>
    <t>Yemen</t>
  </si>
  <si>
    <t>FSI 2011 — Indicator Scores (Pág. 34)</t>
  </si>
  <si>
    <t>FSI 2012 — Indicator Scores (Pág. 34)</t>
  </si>
  <si>
    <t>FSI 2013 — Indicator Scores (Pág. 34)</t>
  </si>
  <si>
    <t>FSI 2014 — Indicator Scores (Pág. 34)</t>
  </si>
  <si>
    <t>FSI 2015 — Indicator Scores (Pág. 34)</t>
  </si>
  <si>
    <t>FSI 2016 — Indicator Scores (Pág. 34)</t>
  </si>
  <si>
    <t>FSI 2017 — Indicator Scores (Pág. 34)</t>
  </si>
  <si>
    <t>FSI 2018 — Indicator Scores (Pág. 34)</t>
  </si>
  <si>
    <t>FSI 2019 — Indicator Scores (Pág. 34)</t>
  </si>
  <si>
    <t>FSI 2010 — Rankings de Fragilidad (Pág. 6)</t>
  </si>
  <si>
    <t>FSI 2015 — Rankings de Fragilidad (Pág. 6)</t>
  </si>
  <si>
    <t>Puntuación</t>
  </si>
  <si>
    <t>Categoría</t>
  </si>
  <si>
    <t>Alert</t>
  </si>
  <si>
    <t>Very High Alert</t>
  </si>
  <si>
    <t>High Warning</t>
  </si>
  <si>
    <t>Warning</t>
  </si>
  <si>
    <t>Low Warning</t>
  </si>
  <si>
    <t>Stable</t>
  </si>
  <si>
    <t>Very Stable</t>
  </si>
  <si>
    <t>FSI 2011 — Rankings de Fragilidad (Pág. 6)</t>
  </si>
  <si>
    <t>FSI 2016 — Rankings de Fragilidad (Pág. 6)</t>
  </si>
  <si>
    <t>FSI 2012 — Rankings de Fragilidad (Pág. 6)</t>
  </si>
  <si>
    <t>FSI 2017 — Rankings de Fragilidad (Pág. 6)</t>
  </si>
  <si>
    <t>High Alert</t>
  </si>
  <si>
    <t>FSI 2013 — Rankings de Fragilidad (Pág. 6)</t>
  </si>
  <si>
    <t>FSI 2018 — Rankings de Fragilidad (Pág. 6)</t>
  </si>
  <si>
    <t>FSI 2014 — Rankings de Fragilidad (Pág. 6)</t>
  </si>
  <si>
    <t>FSI 2019 — Rankings de Fragilidad (Pág. 6)</t>
  </si>
  <si>
    <t>FSI 2010 — Países Más Empeorados y Mejorados (Pág. 9)</t>
  </si>
  <si>
    <t>FSI 2015 — Países Más Empeorados y Mejorados (Pág. 9)</t>
  </si>
  <si>
    <t>Cambio 2009→2010</t>
  </si>
  <si>
    <t>Nota</t>
  </si>
  <si>
    <t>Cambio 2014→2015</t>
  </si>
  <si>
    <t>Mejora Significativa (Boom económico)</t>
  </si>
  <si>
    <t>N/D</t>
  </si>
  <si>
    <t>Sin cambio significativo reportado en el top 20</t>
  </si>
  <si>
    <t>+0,1</t>
  </si>
  <si>
    <t>+1,5</t>
  </si>
  <si>
    <t>Empeoramiento (Inicio de crisis financiera)</t>
  </si>
  <si>
    <t>Mejora Significativa</t>
  </si>
  <si>
    <t>+0,5</t>
  </si>
  <si>
    <t>Mejora (Apertura económica pre-2011)</t>
  </si>
  <si>
    <t>2º país que más empeoró en el mundo</t>
  </si>
  <si>
    <t>Mejora (Estabilidad aparente pre-2011)</t>
  </si>
  <si>
    <t>3º país que más empeoró en el mundo</t>
  </si>
  <si>
    <t>+1,9</t>
  </si>
  <si>
    <t>Empeoramiento Crítico (Conflictos internos)</t>
  </si>
  <si>
    <t>8º país que más empeoró en el mundo</t>
  </si>
  <si>
    <t>+0,4</t>
  </si>
  <si>
    <t>FSI 2011 — Países Más Empeorados y Mejorados (Pág. 9)</t>
  </si>
  <si>
    <t>FSI 2016 — Países Más Empeorados y Mejorados (Pág. 9)</t>
  </si>
  <si>
    <t>Cambio 2010→2011</t>
  </si>
  <si>
    <t>Cambio 2015→2016</t>
  </si>
  <si>
    <t xml:space="preserve">Entre los países con "Mejora Marginal" </t>
  </si>
  <si>
    <t>Empeoramiento Marginal</t>
  </si>
  <si>
    <t>Empeoramiento Significativo (Crisis económica)</t>
  </si>
  <si>
    <t>+3,0</t>
  </si>
  <si>
    <t>6º país que más empeoró en el mundo</t>
  </si>
  <si>
    <t>Mejora Marginal</t>
  </si>
  <si>
    <t>+2,9</t>
  </si>
  <si>
    <t>7º país que más empeoró en el mundo</t>
  </si>
  <si>
    <t>Empeoramiento</t>
  </si>
  <si>
    <t>Mejora Marginal (Pre-conflicto 2011)</t>
  </si>
  <si>
    <t>Ya en categoría Critical Worsening (largo plazo)</t>
  </si>
  <si>
    <t>Mejora Significativa (Pre-conflicto 2011)</t>
  </si>
  <si>
    <t>+2,8</t>
  </si>
  <si>
    <t>9º país que más empeoró en el mundo</t>
  </si>
  <si>
    <t>+3,4</t>
  </si>
  <si>
    <t>4º país que más empeoró en el mundo</t>
  </si>
  <si>
    <t>+0,6</t>
  </si>
  <si>
    <t xml:space="preserve">Entre los países con "Empeoramiento Marginal" </t>
  </si>
  <si>
    <t>FSI 2012 — Países Más Empeorados y Mejorados (Pág. 9)</t>
  </si>
  <si>
    <t>FSI 2017 — Países Más Empeorados y Mejorados (Pág. 9)</t>
  </si>
  <si>
    <t>Cambio 2011→2012</t>
  </si>
  <si>
    <t>Cambio 2016→2017</t>
  </si>
  <si>
    <t>4° país más empeorado en 2017</t>
  </si>
  <si>
    <t>8° país más empeorado en 2017</t>
  </si>
  <si>
    <t>10º que más empeoró en el mundo</t>
  </si>
  <si>
    <t>13° país más empeorado en 2017</t>
  </si>
  <si>
    <t>Figura entre los más empeorados</t>
  </si>
  <si>
    <t>+16,2</t>
  </si>
  <si>
    <t>1º que más empeoró en el mundo (récord histórico)</t>
  </si>
  <si>
    <t>+8,6</t>
  </si>
  <si>
    <t>3º país que más empeoró en el mundo (por puntuación)</t>
  </si>
  <si>
    <t>+4,5</t>
  </si>
  <si>
    <t>4º que más empeoró en el mundo</t>
  </si>
  <si>
    <t>Entre los más mejorados en 2017</t>
  </si>
  <si>
    <t>FSI 2013 — Países Más Empeorados y Mejorados (Pág. 9)</t>
  </si>
  <si>
    <t>FSI 2018 — Países Más Empeorados y Mejorados (Pág. 9)</t>
  </si>
  <si>
    <t>Cambio 2012→2013</t>
  </si>
  <si>
    <t>Cambio 2017→2018</t>
  </si>
  <si>
    <t>19º que más empeoró en el mundo</t>
  </si>
  <si>
    <t>7 puestos</t>
  </si>
  <si>
    <t>Top 10 que más mejoró en el ranking (82º a 89º)</t>
  </si>
  <si>
    <t>3º que más empeoró en el mundo</t>
  </si>
  <si>
    <t>13º que más empeoró en el mundo</t>
  </si>
  <si>
    <t>+2,1</t>
  </si>
  <si>
    <t>5º que más empeoró en el mundo</t>
  </si>
  <si>
    <t>4 puestos</t>
  </si>
  <si>
    <t>Top 10 que más empeoró en el ranking (153º a 149º)</t>
  </si>
  <si>
    <t>2º que más empeoró en el mundo</t>
  </si>
  <si>
    <t>FSI 2014 — Países Más Empeorados y Mejorados (Pág. 9)</t>
  </si>
  <si>
    <t>FSI 2019 — Países Más Empeorados y Mejorados (Pág. 9)</t>
  </si>
  <si>
    <t>Cambio 2013→2014</t>
  </si>
  <si>
    <t>Cambio 2018→2019</t>
  </si>
  <si>
    <t xml:space="preserve">Clasificado como "Mejora Marginal" </t>
  </si>
  <si>
    <t>+3,1</t>
  </si>
  <si>
    <t>1º más empeorado del mundo (empate)</t>
  </si>
  <si>
    <t>+1,2</t>
  </si>
  <si>
    <t>Top 10 que más empeoró por ranking (cayó 6 puestos)</t>
  </si>
  <si>
    <t>+3,3</t>
  </si>
  <si>
    <t>+4,2</t>
  </si>
  <si>
    <t>+0,8</t>
  </si>
  <si>
    <t>FSI — Tendencias del lustro 2005-2010 (Pág. 41)</t>
  </si>
  <si>
    <t>FSI — Tendencias de la Década 2005-2015 (Pág. 41)</t>
  </si>
  <si>
    <t>Cambio de Puntuación (2007-2017)</t>
  </si>
  <si>
    <t>+10,6</t>
  </si>
  <si>
    <t>Significant Worsening</t>
  </si>
  <si>
    <t>+26,8</t>
  </si>
  <si>
    <t>Critical Worsening</t>
  </si>
  <si>
    <t>+17,3</t>
  </si>
  <si>
    <t>+19,3</t>
  </si>
  <si>
    <t>+16,1</t>
  </si>
  <si>
    <t>+11,5</t>
  </si>
  <si>
    <t>+9,9</t>
  </si>
  <si>
    <t>Worsening</t>
  </si>
  <si>
    <t>Marginal Worsening</t>
  </si>
  <si>
    <t>+8,1</t>
  </si>
  <si>
    <t>+6,2</t>
  </si>
  <si>
    <t>+6,8</t>
  </si>
  <si>
    <t>Marginal Improvement</t>
  </si>
  <si>
    <t>Significant Improvement</t>
  </si>
  <si>
    <t>Improvement</t>
  </si>
  <si>
    <t>+3,5</t>
  </si>
  <si>
    <t>FSI — Tendencias del Lustro 2006-2011 (Pág. 41)</t>
  </si>
  <si>
    <t>FSI — Tendencias de la Década 2006-2016 (Pág. 41)</t>
  </si>
  <si>
    <t>+15,6*</t>
  </si>
  <si>
    <t>Empeoramiento acumulado severo en la última década</t>
  </si>
  <si>
    <t>+27,1</t>
  </si>
  <si>
    <t>+22,2*</t>
  </si>
  <si>
    <t>Uno de los peores empeoramientos decenales registrados</t>
  </si>
  <si>
    <t>+22,2</t>
  </si>
  <si>
    <t>No figuran en los 10 casos de extremos de cambio de tendencia</t>
  </si>
  <si>
    <t>+18,3</t>
  </si>
  <si>
    <t>+1,6</t>
  </si>
  <si>
    <t>Empeoramiento sostenido en Economía y Pobreza</t>
  </si>
  <si>
    <t>+12,4</t>
  </si>
  <si>
    <t>+1,8</t>
  </si>
  <si>
    <t>+7,0</t>
  </si>
  <si>
    <t>+6,0</t>
  </si>
  <si>
    <t>*Nota: Datos de tendencia de largo plazo citados en análisis regionales del informe.</t>
  </si>
  <si>
    <t>FSI — Tendencias del Lustro 2007-2012 (Pág. 41)</t>
  </si>
  <si>
    <t>FSI — Tendencias de la Década 2007-2017 (Pág. 41)</t>
  </si>
  <si>
    <t>1º más empeorado del mundo</t>
  </si>
  <si>
    <t>4º más empeorado del mundo</t>
  </si>
  <si>
    <t>9º más empeorado del mundo</t>
  </si>
  <si>
    <t>Some Worsening</t>
  </si>
  <si>
    <t>FSI — Tendencias del Lustro 2008-2013 (Pág. 41)</t>
  </si>
  <si>
    <t>FSI — Tendencias de la Década 2008-2018 (Pág. 41)</t>
  </si>
  <si>
    <t>El más empeorado del mundo</t>
  </si>
  <si>
    <t>Critical Worsening (El peor del mundo)</t>
  </si>
  <si>
    <t>FSI — Tendencias de la Década 2004-2014 (Pág. 41)</t>
  </si>
  <si>
    <t>FSI — Tendencias de la década 2009-2019 (Pág. 41)</t>
  </si>
  <si>
    <t>+22,8</t>
  </si>
  <si>
    <t>+13,0</t>
  </si>
  <si>
    <t>+21,4</t>
  </si>
  <si>
    <t>+8,8</t>
  </si>
  <si>
    <t>+15,4</t>
  </si>
  <si>
    <t>+11,0</t>
  </si>
  <si>
    <t>+7,8</t>
  </si>
  <si>
    <t>+6,5</t>
  </si>
  <si>
    <t>+5,7</t>
  </si>
  <si>
    <t>+3,8</t>
  </si>
  <si>
    <t>+12,6</t>
  </si>
  <si>
    <t>+2,7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</si>
</sst>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3.0"/>
      <color rgb="FF1F4E79"/>
      <name val="Arial"/>
    </font>
    <font>
      <b/>
      <color rgb="FFFFFFFF"/>
      <name val="Arial"/>
    </font>
    <font>
      <sz val="11.0"/>
      <color rgb="FF000000"/>
      <name val="Calibri"/>
    </font>
    <font>
      <sz val="9.0"/>
      <color rgb="FF000000"/>
      <name val="Arial"/>
    </font>
    <font>
      <color theme="1"/>
      <name val="Arial"/>
    </font>
    <font>
      <color theme="1"/>
      <name val="Arial"/>
      <scheme val="minor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theme="1"/>
      <name val="Arial"/>
    </font>
    <font>
      <b/>
      <sz val="9.0"/>
      <color rgb="FF1E8449"/>
      <name val="Arial"/>
    </font>
    <font>
      <b/>
      <sz val="9.0"/>
      <color rgb="FFC0392B"/>
      <name val="Arial"/>
    </font>
    <font>
      <sz val="9.0"/>
      <color rgb="FFFFFFFF"/>
      <name val="Arial"/>
    </font>
    <font>
      <b/>
      <sz val="9.0"/>
      <color rgb="FF1A527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E74C3C"/>
        <bgColor rgb="FFE74C3C"/>
      </patternFill>
    </fill>
    <fill>
      <patternFill patternType="solid">
        <fgColor rgb="FF7B241C"/>
        <bgColor rgb="FF7B241C"/>
      </patternFill>
    </fill>
    <fill>
      <patternFill patternType="solid">
        <fgColor rgb="FFF6B26B"/>
        <bgColor rgb="FFF6B26B"/>
      </patternFill>
    </fill>
    <fill>
      <patternFill patternType="solid">
        <fgColor rgb="FFF4D03F"/>
        <bgColor rgb="FFF4D03F"/>
      </patternFill>
    </fill>
    <fill>
      <patternFill patternType="solid">
        <fgColor rgb="FF27AE60"/>
        <bgColor rgb="FF27AE6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641E16"/>
        <bgColor rgb="FF641E16"/>
      </patternFill>
    </fill>
    <fill>
      <patternFill patternType="solid">
        <fgColor rgb="FFA9CCE3"/>
        <bgColor rgb="FFA9CCE3"/>
      </patternFill>
    </fill>
    <fill>
      <patternFill patternType="solid">
        <fgColor rgb="FFE59866"/>
        <bgColor rgb="FFE59866"/>
      </patternFill>
    </fill>
  </fills>
  <borders count="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shrinkToFit="0" vertical="bottom" wrapText="0"/>
    </xf>
    <xf borderId="2" fillId="0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left" readingOrder="0" shrinkToFit="0" wrapText="0"/>
    </xf>
    <xf borderId="2" fillId="3" fontId="4" numFmtId="0" xfId="0" applyAlignment="1" applyBorder="1" applyFill="1" applyFont="1">
      <alignment horizontal="center" readingOrder="0" shrinkToFit="0" wrapText="0"/>
    </xf>
    <xf borderId="2" fillId="3" fontId="4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horizontal="right" vertical="bottom"/>
    </xf>
    <xf borderId="1" fillId="2" fontId="2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horizontal="center" readingOrder="0" shrinkToFit="0" wrapText="0"/>
    </xf>
    <xf borderId="0" fillId="5" fontId="7" numFmtId="0" xfId="0" applyAlignment="1" applyFill="1" applyFont="1">
      <alignment horizontal="center" readingOrder="0" shrinkToFit="0" wrapText="0"/>
    </xf>
    <xf borderId="0" fillId="6" fontId="8" numFmtId="0" xfId="0" applyAlignment="1" applyFill="1" applyFont="1">
      <alignment horizontal="center" readingOrder="0" shrinkToFit="0" wrapText="0"/>
    </xf>
    <xf borderId="0" fillId="7" fontId="8" numFmtId="0" xfId="0" applyAlignment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0" fillId="3" fontId="8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8" fontId="7" numFmtId="0" xfId="0" applyAlignment="1" applyFill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vertical="bottom" wrapText="0"/>
    </xf>
    <xf borderId="0" fillId="3" fontId="9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3" fontId="11" numFmtId="0" xfId="0" applyAlignment="1" applyFont="1">
      <alignment horizontal="center" shrinkToFit="0" vertical="bottom" wrapText="0"/>
    </xf>
    <xf borderId="0" fillId="9" fontId="11" numFmtId="0" xfId="0" applyAlignment="1" applyFill="1" applyFont="1">
      <alignment horizontal="center" shrinkToFit="0" vertical="bottom" wrapText="0"/>
    </xf>
    <xf borderId="0" fillId="3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10" fontId="11" numFmtId="0" xfId="0" applyAlignment="1" applyFill="1" applyFont="1">
      <alignment horizontal="center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horizontal="center" readingOrder="0" shrinkToFit="0" vertical="bottom" wrapText="0"/>
    </xf>
    <xf borderId="0" fillId="11" fontId="12" numFmtId="0" xfId="0" applyAlignment="1" applyFill="1" applyFont="1">
      <alignment horizontal="center" readingOrder="0" shrinkToFit="0" vertical="bottom" wrapText="0"/>
    </xf>
    <xf borderId="0" fillId="3" fontId="11" numFmtId="0" xfId="0" applyAlignment="1" applyFont="1">
      <alignment horizontal="center" readingOrder="0" shrinkToFit="0" vertical="bottom" wrapText="0"/>
    </xf>
    <xf borderId="0" fillId="4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12" fontId="4" numFmtId="0" xfId="0" applyAlignment="1" applyFill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13" fontId="12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34.5"/>
    <col customWidth="1" min="4" max="4" width="22.13"/>
    <col customWidth="1" min="5" max="5" width="16.25"/>
    <col customWidth="1" min="6" max="6" width="20.13"/>
    <col customWidth="1" min="7" max="7" width="22.0"/>
    <col customWidth="1" min="8" max="8" width="16.25"/>
    <col customWidth="1" min="9" max="9" width="21.63"/>
    <col customWidth="1" min="10" max="10" width="13.75"/>
    <col customWidth="1" min="11" max="11" width="17.38"/>
    <col customWidth="1" min="12" max="12" width="22.5"/>
    <col customWidth="1" min="13" max="13" width="18.0"/>
    <col customWidth="1" min="14" max="14" width="19.63"/>
  </cols>
  <sheetData>
    <row r="1">
      <c r="A1" s="1" t="s">
        <v>0</v>
      </c>
      <c r="P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3"/>
    </row>
    <row r="3">
      <c r="A3" s="4">
        <v>148.0</v>
      </c>
      <c r="B3" s="5" t="s">
        <v>16</v>
      </c>
      <c r="C3" s="4">
        <v>2.4</v>
      </c>
      <c r="D3" s="4">
        <v>3.2</v>
      </c>
      <c r="E3" s="4">
        <v>4.5</v>
      </c>
      <c r="F3" s="4">
        <v>5.1</v>
      </c>
      <c r="G3" s="4">
        <v>5.8</v>
      </c>
      <c r="H3" s="4">
        <v>3.8</v>
      </c>
      <c r="I3" s="4">
        <v>3.6</v>
      </c>
      <c r="J3" s="4">
        <v>3.7</v>
      </c>
      <c r="K3" s="4">
        <v>3.8</v>
      </c>
      <c r="L3" s="4">
        <v>4.6</v>
      </c>
      <c r="M3" s="4">
        <v>2.2</v>
      </c>
      <c r="N3" s="4">
        <v>3.1</v>
      </c>
      <c r="O3" s="4">
        <v>45.8</v>
      </c>
    </row>
    <row r="4">
      <c r="A4" s="6">
        <v>119.0</v>
      </c>
      <c r="B4" s="7" t="s">
        <v>17</v>
      </c>
      <c r="C4" s="6">
        <v>6.7</v>
      </c>
      <c r="D4" s="6">
        <v>5.1</v>
      </c>
      <c r="E4" s="6">
        <v>6.2</v>
      </c>
      <c r="F4" s="6">
        <v>4.0</v>
      </c>
      <c r="G4" s="6">
        <v>8.8</v>
      </c>
      <c r="H4" s="6">
        <v>4.8</v>
      </c>
      <c r="I4" s="6">
        <v>6.2</v>
      </c>
      <c r="J4" s="6">
        <v>6.0</v>
      </c>
      <c r="K4" s="6">
        <v>5.4</v>
      </c>
      <c r="L4" s="6">
        <v>6.3</v>
      </c>
      <c r="M4" s="6">
        <v>3.7</v>
      </c>
      <c r="N4" s="6">
        <v>4.2</v>
      </c>
      <c r="O4" s="6">
        <v>67.4</v>
      </c>
    </row>
    <row r="5">
      <c r="A5" s="4">
        <v>147.0</v>
      </c>
      <c r="B5" s="5" t="s">
        <v>18</v>
      </c>
      <c r="C5" s="4">
        <v>3.4</v>
      </c>
      <c r="D5" s="4">
        <v>2.4</v>
      </c>
      <c r="E5" s="4">
        <v>4.2</v>
      </c>
      <c r="F5" s="4">
        <v>4.3</v>
      </c>
      <c r="G5" s="4">
        <v>4.6</v>
      </c>
      <c r="H5" s="4">
        <v>4.5</v>
      </c>
      <c r="I5" s="4">
        <v>4.6</v>
      </c>
      <c r="J5" s="4">
        <v>3.7</v>
      </c>
      <c r="K5" s="4">
        <v>3.4</v>
      </c>
      <c r="L5" s="4">
        <v>4.5</v>
      </c>
      <c r="M5" s="4">
        <v>2.8</v>
      </c>
      <c r="N5" s="4">
        <v>3.5</v>
      </c>
      <c r="O5" s="4">
        <v>45.9</v>
      </c>
    </row>
    <row r="6">
      <c r="A6" s="6">
        <v>149.0</v>
      </c>
      <c r="B6" s="7" t="s">
        <v>19</v>
      </c>
      <c r="C6" s="6">
        <v>4.2</v>
      </c>
      <c r="D6" s="6">
        <v>4.0</v>
      </c>
      <c r="E6" s="6">
        <v>4.8</v>
      </c>
      <c r="F6" s="6">
        <v>4.7</v>
      </c>
      <c r="G6" s="6">
        <v>4.5</v>
      </c>
      <c r="H6" s="6">
        <v>2.8</v>
      </c>
      <c r="I6" s="6">
        <v>4.5</v>
      </c>
      <c r="J6" s="6">
        <v>3.1</v>
      </c>
      <c r="K6" s="6">
        <v>3.0</v>
      </c>
      <c r="L6" s="6">
        <v>4.0</v>
      </c>
      <c r="M6" s="6">
        <v>3.9</v>
      </c>
      <c r="N6" s="6">
        <v>2.2</v>
      </c>
      <c r="O6" s="6">
        <v>45.7</v>
      </c>
    </row>
    <row r="7">
      <c r="A7" s="4">
        <v>111.0</v>
      </c>
      <c r="B7" s="5" t="s">
        <v>20</v>
      </c>
      <c r="C7" s="4">
        <v>5.2</v>
      </c>
      <c r="D7" s="4">
        <v>7.1</v>
      </c>
      <c r="E7" s="4">
        <v>5.8</v>
      </c>
      <c r="F7" s="4">
        <v>5.3</v>
      </c>
      <c r="G7" s="4">
        <v>6.9</v>
      </c>
      <c r="H7" s="4">
        <v>4.2</v>
      </c>
      <c r="I7" s="4">
        <v>7.3</v>
      </c>
      <c r="J7" s="4">
        <v>4.2</v>
      </c>
      <c r="K7" s="4">
        <v>8.3</v>
      </c>
      <c r="L7" s="4">
        <v>5.7</v>
      </c>
      <c r="M7" s="4">
        <v>4.3</v>
      </c>
      <c r="N7" s="4">
        <v>4.8</v>
      </c>
      <c r="O7" s="4">
        <v>69.1</v>
      </c>
    </row>
    <row r="8">
      <c r="A8" s="6">
        <v>151.0</v>
      </c>
      <c r="B8" s="7" t="s">
        <v>21</v>
      </c>
      <c r="C8" s="6">
        <v>5.3</v>
      </c>
      <c r="D8" s="6">
        <v>5.7</v>
      </c>
      <c r="E8" s="6">
        <v>6.3</v>
      </c>
      <c r="F8" s="6">
        <v>4.4</v>
      </c>
      <c r="G8" s="6">
        <v>5.0</v>
      </c>
      <c r="H8" s="6">
        <v>1.8</v>
      </c>
      <c r="I8" s="6">
        <v>1.6</v>
      </c>
      <c r="J8" s="6">
        <v>2.4</v>
      </c>
      <c r="K8" s="6">
        <v>2.5</v>
      </c>
      <c r="L8" s="6">
        <v>3.7</v>
      </c>
      <c r="M8" s="6">
        <v>2.8</v>
      </c>
      <c r="N8" s="6">
        <v>2.0</v>
      </c>
      <c r="O8" s="6">
        <v>43.5</v>
      </c>
    </row>
    <row r="9">
      <c r="A9" s="4">
        <v>48.0</v>
      </c>
      <c r="B9" s="5" t="s">
        <v>22</v>
      </c>
      <c r="C9" s="4">
        <v>7.6</v>
      </c>
      <c r="D9" s="4">
        <v>7.8</v>
      </c>
      <c r="E9" s="4">
        <v>8.3</v>
      </c>
      <c r="F9" s="4">
        <v>6.3</v>
      </c>
      <c r="G9" s="4">
        <v>7.8</v>
      </c>
      <c r="H9" s="4">
        <v>6.6</v>
      </c>
      <c r="I9" s="4">
        <v>8.6</v>
      </c>
      <c r="J9" s="4">
        <v>5.5</v>
      </c>
      <c r="K9" s="4">
        <v>8.8</v>
      </c>
      <c r="L9" s="4">
        <v>5.9</v>
      </c>
      <c r="M9" s="4">
        <v>8.9</v>
      </c>
      <c r="N9" s="4">
        <v>5.8</v>
      </c>
      <c r="O9" s="4">
        <v>87.9</v>
      </c>
    </row>
    <row r="10">
      <c r="A10" s="6">
        <v>82.0</v>
      </c>
      <c r="B10" s="7" t="s">
        <v>23</v>
      </c>
      <c r="C10" s="6">
        <v>6.7</v>
      </c>
      <c r="D10" s="6">
        <v>7.5</v>
      </c>
      <c r="E10" s="6">
        <v>6.8</v>
      </c>
      <c r="F10" s="6">
        <v>5.8</v>
      </c>
      <c r="G10" s="6">
        <v>7.6</v>
      </c>
      <c r="H10" s="6">
        <v>6.7</v>
      </c>
      <c r="I10" s="6">
        <v>7.2</v>
      </c>
      <c r="J10" s="6">
        <v>6.1</v>
      </c>
      <c r="K10" s="6">
        <v>7.2</v>
      </c>
      <c r="L10" s="6">
        <v>6.3</v>
      </c>
      <c r="M10" s="6">
        <v>5.1</v>
      </c>
      <c r="N10" s="6">
        <v>5.7</v>
      </c>
      <c r="O10" s="6">
        <v>78.7</v>
      </c>
    </row>
    <row r="11">
      <c r="A11" s="4">
        <v>15.0</v>
      </c>
      <c r="B11" s="5" t="s">
        <v>24</v>
      </c>
      <c r="C11" s="4">
        <v>8.9</v>
      </c>
      <c r="D11" s="4">
        <v>9.2</v>
      </c>
      <c r="E11" s="4">
        <v>8.2</v>
      </c>
      <c r="F11" s="4">
        <v>7.9</v>
      </c>
      <c r="G11" s="4">
        <v>8.6</v>
      </c>
      <c r="H11" s="4">
        <v>7.2</v>
      </c>
      <c r="I11" s="4">
        <v>8.7</v>
      </c>
      <c r="J11" s="4">
        <v>8.6</v>
      </c>
      <c r="K11" s="4">
        <v>8.0</v>
      </c>
      <c r="L11" s="4">
        <v>8.6</v>
      </c>
      <c r="M11" s="4">
        <v>8.3</v>
      </c>
      <c r="N11" s="4">
        <v>7.8</v>
      </c>
      <c r="O11" s="4">
        <v>100.0</v>
      </c>
    </row>
    <row r="1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1" t="s">
        <v>25</v>
      </c>
    </row>
    <row r="14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10</v>
      </c>
      <c r="K14" s="2" t="s">
        <v>11</v>
      </c>
      <c r="L14" s="2" t="s">
        <v>12</v>
      </c>
      <c r="M14" s="2" t="s">
        <v>13</v>
      </c>
      <c r="N14" s="2" t="s">
        <v>14</v>
      </c>
      <c r="O14" s="2" t="s">
        <v>15</v>
      </c>
    </row>
    <row r="15">
      <c r="A15" s="4">
        <v>145.0</v>
      </c>
      <c r="B15" s="5" t="s">
        <v>16</v>
      </c>
      <c r="C15" s="4">
        <v>4.4</v>
      </c>
      <c r="D15" s="4">
        <v>2.6</v>
      </c>
      <c r="E15" s="4">
        <v>4.9</v>
      </c>
      <c r="F15" s="4">
        <v>3.5</v>
      </c>
      <c r="G15" s="4">
        <v>6.0</v>
      </c>
      <c r="H15" s="4">
        <v>4.4</v>
      </c>
      <c r="I15" s="4">
        <v>4.0</v>
      </c>
      <c r="J15" s="4">
        <v>3.5</v>
      </c>
      <c r="K15" s="4">
        <v>4.0</v>
      </c>
      <c r="L15" s="4">
        <v>2.7</v>
      </c>
      <c r="M15" s="4">
        <v>3.0</v>
      </c>
      <c r="N15" s="4">
        <v>3.8</v>
      </c>
      <c r="O15" s="4">
        <v>46.8</v>
      </c>
    </row>
    <row r="16">
      <c r="A16" s="6">
        <v>123.0</v>
      </c>
      <c r="B16" s="7" t="s">
        <v>17</v>
      </c>
      <c r="C16" s="6">
        <v>6.1</v>
      </c>
      <c r="D16" s="6">
        <v>3.5</v>
      </c>
      <c r="E16" s="6">
        <v>6.5</v>
      </c>
      <c r="F16" s="6">
        <v>4.5</v>
      </c>
      <c r="G16" s="6">
        <v>8.5</v>
      </c>
      <c r="H16" s="6">
        <v>5.0</v>
      </c>
      <c r="I16" s="6">
        <v>3.9</v>
      </c>
      <c r="J16" s="6">
        <v>5.8</v>
      </c>
      <c r="K16" s="6">
        <v>5.1</v>
      </c>
      <c r="L16" s="6">
        <v>4.9</v>
      </c>
      <c r="M16" s="6">
        <v>6.5</v>
      </c>
      <c r="N16" s="6">
        <v>3.9</v>
      </c>
      <c r="O16" s="6">
        <v>65.1</v>
      </c>
    </row>
    <row r="17">
      <c r="A17" s="4">
        <v>143.0</v>
      </c>
      <c r="B17" s="5" t="s">
        <v>18</v>
      </c>
      <c r="C17" s="4">
        <v>4.1</v>
      </c>
      <c r="D17" s="4">
        <v>2.6</v>
      </c>
      <c r="E17" s="4">
        <v>4.5</v>
      </c>
      <c r="F17" s="4">
        <v>4.4</v>
      </c>
      <c r="G17" s="4">
        <v>4.3</v>
      </c>
      <c r="H17" s="4">
        <v>5.1</v>
      </c>
      <c r="I17" s="4">
        <v>4.9</v>
      </c>
      <c r="J17" s="4">
        <v>3.8</v>
      </c>
      <c r="K17" s="4">
        <v>3.1</v>
      </c>
      <c r="L17" s="4">
        <v>3.8</v>
      </c>
      <c r="M17" s="4">
        <v>2.5</v>
      </c>
      <c r="N17" s="4">
        <v>4.3</v>
      </c>
      <c r="O17" s="4">
        <v>47.4</v>
      </c>
    </row>
    <row r="18">
      <c r="A18" s="6">
        <v>147.0</v>
      </c>
      <c r="B18" s="7" t="s">
        <v>19</v>
      </c>
      <c r="C18" s="6">
        <v>3.6</v>
      </c>
      <c r="D18" s="6">
        <v>3.5</v>
      </c>
      <c r="E18" s="6">
        <v>5.3</v>
      </c>
      <c r="F18" s="6">
        <v>3.2</v>
      </c>
      <c r="G18" s="6">
        <v>4.1</v>
      </c>
      <c r="H18" s="6">
        <v>4.2</v>
      </c>
      <c r="I18" s="6">
        <v>4.7</v>
      </c>
      <c r="J18" s="6">
        <v>2.8</v>
      </c>
      <c r="K18" s="6">
        <v>3.1</v>
      </c>
      <c r="L18" s="6">
        <v>4.9</v>
      </c>
      <c r="M18" s="6">
        <v>4.4</v>
      </c>
      <c r="N18" s="6">
        <v>2.0</v>
      </c>
      <c r="O18" s="6">
        <v>45.8</v>
      </c>
    </row>
    <row r="19">
      <c r="A19" s="4">
        <v>111.0</v>
      </c>
      <c r="B19" s="5" t="s">
        <v>20</v>
      </c>
      <c r="C19" s="4">
        <v>5.5</v>
      </c>
      <c r="D19" s="4">
        <v>4.6</v>
      </c>
      <c r="E19" s="4">
        <v>6.0</v>
      </c>
      <c r="F19" s="4">
        <v>3.9</v>
      </c>
      <c r="G19" s="4">
        <v>4.6</v>
      </c>
      <c r="H19" s="4">
        <v>6.9</v>
      </c>
      <c r="I19" s="4">
        <v>7.3</v>
      </c>
      <c r="J19" s="4">
        <v>4.3</v>
      </c>
      <c r="K19" s="4">
        <v>8.3</v>
      </c>
      <c r="L19" s="4">
        <v>7.0</v>
      </c>
      <c r="M19" s="4">
        <v>5.9</v>
      </c>
      <c r="N19" s="4">
        <v>4.4</v>
      </c>
      <c r="O19" s="4">
        <v>68.7</v>
      </c>
    </row>
    <row r="20">
      <c r="A20" s="6">
        <v>151.0</v>
      </c>
      <c r="B20" s="7" t="s">
        <v>21</v>
      </c>
      <c r="C20" s="6">
        <v>3.3</v>
      </c>
      <c r="D20" s="6">
        <v>2.9</v>
      </c>
      <c r="E20" s="6">
        <v>6.0</v>
      </c>
      <c r="F20" s="6">
        <v>1.9</v>
      </c>
      <c r="G20" s="6">
        <v>4.7</v>
      </c>
      <c r="H20" s="6">
        <v>4.5</v>
      </c>
      <c r="I20" s="6">
        <v>2.1</v>
      </c>
      <c r="J20" s="6">
        <v>2.4</v>
      </c>
      <c r="K20" s="6">
        <v>2.6</v>
      </c>
      <c r="L20" s="6">
        <v>4.9</v>
      </c>
      <c r="M20" s="6">
        <v>5.6</v>
      </c>
      <c r="N20" s="6">
        <v>2.2</v>
      </c>
      <c r="O20" s="6">
        <v>43.1</v>
      </c>
    </row>
    <row r="21">
      <c r="A21" s="4">
        <v>48.0</v>
      </c>
      <c r="B21" s="5" t="s">
        <v>22</v>
      </c>
      <c r="C21" s="4">
        <v>5.6</v>
      </c>
      <c r="D21" s="4">
        <v>8.5</v>
      </c>
      <c r="E21" s="4">
        <v>8.7</v>
      </c>
      <c r="F21" s="4">
        <v>6.3</v>
      </c>
      <c r="G21" s="4">
        <v>7.4</v>
      </c>
      <c r="H21" s="4">
        <v>5.8</v>
      </c>
      <c r="I21" s="4">
        <v>8.3</v>
      </c>
      <c r="J21" s="4">
        <v>5.8</v>
      </c>
      <c r="K21" s="4">
        <v>8.6</v>
      </c>
      <c r="L21" s="4">
        <v>7.9</v>
      </c>
      <c r="M21" s="4">
        <v>7.5</v>
      </c>
      <c r="N21" s="4">
        <v>5.5</v>
      </c>
      <c r="O21" s="4">
        <v>85.9</v>
      </c>
    </row>
    <row r="22">
      <c r="A22" s="6">
        <v>80.0</v>
      </c>
      <c r="B22" s="7" t="s">
        <v>23</v>
      </c>
      <c r="C22" s="6">
        <v>6.0</v>
      </c>
      <c r="D22" s="6">
        <v>4.8</v>
      </c>
      <c r="E22" s="6">
        <v>7.0</v>
      </c>
      <c r="F22" s="6">
        <v>6.4</v>
      </c>
      <c r="G22" s="6">
        <v>7.3</v>
      </c>
      <c r="H22" s="6">
        <v>6.1</v>
      </c>
      <c r="I22" s="6">
        <v>7.5</v>
      </c>
      <c r="J22" s="6">
        <v>5.8</v>
      </c>
      <c r="K22" s="6">
        <v>7.4</v>
      </c>
      <c r="L22" s="6">
        <v>7.3</v>
      </c>
      <c r="M22" s="6">
        <v>7.0</v>
      </c>
      <c r="N22" s="6">
        <v>5.5</v>
      </c>
      <c r="O22" s="6">
        <v>78.2</v>
      </c>
    </row>
    <row r="23">
      <c r="A23" s="4">
        <v>13.0</v>
      </c>
      <c r="B23" s="5" t="s">
        <v>24</v>
      </c>
      <c r="C23" s="4">
        <v>8.7</v>
      </c>
      <c r="D23" s="4">
        <v>8.4</v>
      </c>
      <c r="E23" s="4">
        <v>8.6</v>
      </c>
      <c r="F23" s="4">
        <v>6.9</v>
      </c>
      <c r="G23" s="4">
        <v>8.3</v>
      </c>
      <c r="H23" s="4">
        <v>7.7</v>
      </c>
      <c r="I23" s="4">
        <v>8.6</v>
      </c>
      <c r="J23" s="4">
        <v>8.7</v>
      </c>
      <c r="K23" s="4">
        <v>7.7</v>
      </c>
      <c r="L23" s="4">
        <v>9.3</v>
      </c>
      <c r="M23" s="4">
        <v>9.3</v>
      </c>
      <c r="N23" s="4">
        <v>8.2</v>
      </c>
      <c r="O23" s="4">
        <v>100.3</v>
      </c>
    </row>
    <row r="25">
      <c r="A25" s="1" t="s">
        <v>26</v>
      </c>
    </row>
    <row r="26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</row>
    <row r="27">
      <c r="A27" s="4">
        <v>145.0</v>
      </c>
      <c r="B27" s="5" t="s">
        <v>16</v>
      </c>
      <c r="C27" s="4">
        <v>4.4</v>
      </c>
      <c r="D27" s="4">
        <v>2.3</v>
      </c>
      <c r="E27" s="4">
        <v>4.7</v>
      </c>
      <c r="F27" s="4">
        <v>3.3</v>
      </c>
      <c r="G27" s="4">
        <v>6.3</v>
      </c>
      <c r="H27" s="4">
        <v>4.1</v>
      </c>
      <c r="I27" s="4">
        <v>4.3</v>
      </c>
      <c r="J27" s="4">
        <v>3.8</v>
      </c>
      <c r="K27" s="4">
        <v>3.8</v>
      </c>
      <c r="L27" s="4">
        <v>3.0</v>
      </c>
      <c r="M27" s="4">
        <v>3.0</v>
      </c>
      <c r="N27" s="4">
        <v>3.5</v>
      </c>
      <c r="O27" s="4">
        <v>46.5</v>
      </c>
    </row>
    <row r="28">
      <c r="A28" s="6">
        <v>123.0</v>
      </c>
      <c r="B28" s="7" t="s">
        <v>17</v>
      </c>
      <c r="C28" s="6">
        <v>7.0</v>
      </c>
      <c r="D28" s="6">
        <v>3.9</v>
      </c>
      <c r="E28" s="6">
        <v>6.2</v>
      </c>
      <c r="F28" s="6">
        <v>4.2</v>
      </c>
      <c r="G28" s="6">
        <v>8.4</v>
      </c>
      <c r="H28" s="6">
        <v>3.6</v>
      </c>
      <c r="I28" s="6">
        <v>3.6</v>
      </c>
      <c r="J28" s="6">
        <v>5.5</v>
      </c>
      <c r="K28" s="6">
        <v>5.0</v>
      </c>
      <c r="L28" s="6">
        <v>6.2</v>
      </c>
      <c r="M28" s="6">
        <v>4.9</v>
      </c>
      <c r="N28" s="6">
        <v>3.6</v>
      </c>
      <c r="O28" s="6">
        <v>64.1</v>
      </c>
    </row>
    <row r="29">
      <c r="A29" s="4">
        <v>138.0</v>
      </c>
      <c r="B29" s="5" t="s">
        <v>18</v>
      </c>
      <c r="C29" s="4">
        <v>3.8</v>
      </c>
      <c r="D29" s="4">
        <v>2.3</v>
      </c>
      <c r="E29" s="4">
        <v>4.8</v>
      </c>
      <c r="F29" s="4">
        <v>4.7</v>
      </c>
      <c r="G29" s="4">
        <v>4.6</v>
      </c>
      <c r="H29" s="4">
        <v>5.9</v>
      </c>
      <c r="I29" s="4">
        <v>5.4</v>
      </c>
      <c r="J29" s="4">
        <v>4.2</v>
      </c>
      <c r="K29" s="4">
        <v>3.3</v>
      </c>
      <c r="L29" s="4">
        <v>4.0</v>
      </c>
      <c r="M29" s="4">
        <v>2.5</v>
      </c>
      <c r="N29" s="4">
        <v>4.8</v>
      </c>
      <c r="O29" s="4">
        <v>50.4</v>
      </c>
    </row>
    <row r="30">
      <c r="A30" s="6">
        <v>146.0</v>
      </c>
      <c r="B30" s="7" t="s">
        <v>19</v>
      </c>
      <c r="C30" s="6">
        <v>3.3</v>
      </c>
      <c r="D30" s="6">
        <v>3.6</v>
      </c>
      <c r="E30" s="6">
        <v>5.0</v>
      </c>
      <c r="F30" s="6">
        <v>2.9</v>
      </c>
      <c r="G30" s="6">
        <v>3.8</v>
      </c>
      <c r="H30" s="6">
        <v>4.6</v>
      </c>
      <c r="I30" s="6">
        <v>5.0</v>
      </c>
      <c r="J30" s="6">
        <v>2.7</v>
      </c>
      <c r="K30" s="6">
        <v>3.2</v>
      </c>
      <c r="L30" s="6">
        <v>4.9</v>
      </c>
      <c r="M30" s="6">
        <v>4.8</v>
      </c>
      <c r="N30" s="6">
        <v>2.0</v>
      </c>
      <c r="O30" s="6">
        <v>45.8</v>
      </c>
    </row>
    <row r="31">
      <c r="A31" s="4">
        <v>50.0</v>
      </c>
      <c r="B31" s="5" t="s">
        <v>20</v>
      </c>
      <c r="C31" s="4">
        <v>5.8</v>
      </c>
      <c r="D31" s="4">
        <v>5.1</v>
      </c>
      <c r="E31" s="4">
        <v>7.0</v>
      </c>
      <c r="F31" s="4">
        <v>3.9</v>
      </c>
      <c r="G31" s="4">
        <v>7.0</v>
      </c>
      <c r="H31" s="4">
        <v>5.5</v>
      </c>
      <c r="I31" s="4">
        <v>8.1</v>
      </c>
      <c r="J31" s="4">
        <v>7.6</v>
      </c>
      <c r="K31" s="4">
        <v>9.0</v>
      </c>
      <c r="L31" s="4">
        <v>9.0</v>
      </c>
      <c r="M31" s="4">
        <v>8.0</v>
      </c>
      <c r="N31" s="4">
        <v>9.0</v>
      </c>
      <c r="O31" s="4">
        <v>84.9</v>
      </c>
    </row>
    <row r="32">
      <c r="A32" s="6">
        <v>153.0</v>
      </c>
      <c r="B32" s="7" t="s">
        <v>21</v>
      </c>
      <c r="C32" s="6">
        <v>3.1</v>
      </c>
      <c r="D32" s="6">
        <v>2.6</v>
      </c>
      <c r="E32" s="6">
        <v>4.4</v>
      </c>
      <c r="F32" s="6">
        <v>5.7</v>
      </c>
      <c r="G32" s="6">
        <v>2.3</v>
      </c>
      <c r="H32" s="6">
        <v>5.0</v>
      </c>
      <c r="I32" s="6">
        <v>2.6</v>
      </c>
      <c r="J32" s="6">
        <v>2.9</v>
      </c>
      <c r="K32" s="6">
        <v>2.5</v>
      </c>
      <c r="L32" s="6">
        <v>4.4</v>
      </c>
      <c r="M32" s="6">
        <v>5.6</v>
      </c>
      <c r="N32" s="6">
        <v>1.7</v>
      </c>
      <c r="O32" s="6">
        <v>42.8</v>
      </c>
    </row>
    <row r="33">
      <c r="A33" s="4">
        <v>23.0</v>
      </c>
      <c r="B33" s="5" t="s">
        <v>22</v>
      </c>
      <c r="C33" s="4">
        <v>5.5</v>
      </c>
      <c r="D33" s="4">
        <v>9.0</v>
      </c>
      <c r="E33" s="4">
        <v>6.0</v>
      </c>
      <c r="F33" s="4">
        <v>7.5</v>
      </c>
      <c r="G33" s="4">
        <v>9.2</v>
      </c>
      <c r="H33" s="4">
        <v>6.3</v>
      </c>
      <c r="I33" s="4">
        <v>9.3</v>
      </c>
      <c r="J33" s="4">
        <v>7.0</v>
      </c>
      <c r="K33" s="4">
        <v>9.4</v>
      </c>
      <c r="L33" s="4">
        <v>8.5</v>
      </c>
      <c r="M33" s="4">
        <v>8.7</v>
      </c>
      <c r="N33" s="4">
        <v>7.9</v>
      </c>
      <c r="O33" s="4">
        <v>94.5</v>
      </c>
    </row>
    <row r="34">
      <c r="A34" s="6">
        <v>82.0</v>
      </c>
      <c r="B34" s="7" t="s">
        <v>23</v>
      </c>
      <c r="C34" s="6">
        <v>5.7</v>
      </c>
      <c r="D34" s="6">
        <v>4.5</v>
      </c>
      <c r="E34" s="6">
        <v>6.1</v>
      </c>
      <c r="F34" s="6">
        <v>6.7</v>
      </c>
      <c r="G34" s="6">
        <v>7.2</v>
      </c>
      <c r="H34" s="6">
        <v>5.9</v>
      </c>
      <c r="I34" s="6">
        <v>7.9</v>
      </c>
      <c r="J34" s="6">
        <v>6.3</v>
      </c>
      <c r="K34" s="6">
        <v>7.7</v>
      </c>
      <c r="L34" s="6">
        <v>6.7</v>
      </c>
      <c r="M34" s="6">
        <v>7.3</v>
      </c>
      <c r="N34" s="6">
        <v>5.2</v>
      </c>
      <c r="O34" s="6">
        <v>77.3</v>
      </c>
    </row>
    <row r="35">
      <c r="A35" s="4">
        <v>8.0</v>
      </c>
      <c r="B35" s="5" t="s">
        <v>24</v>
      </c>
      <c r="C35" s="4">
        <v>8.8</v>
      </c>
      <c r="D35" s="4">
        <v>8.7</v>
      </c>
      <c r="E35" s="4">
        <v>9.0</v>
      </c>
      <c r="F35" s="4">
        <v>7.0</v>
      </c>
      <c r="G35" s="4">
        <v>8.4</v>
      </c>
      <c r="H35" s="4">
        <v>8.7</v>
      </c>
      <c r="I35" s="4">
        <v>9.1</v>
      </c>
      <c r="J35" s="4">
        <v>9.0</v>
      </c>
      <c r="K35" s="4">
        <v>8.4</v>
      </c>
      <c r="L35" s="4">
        <v>9.7</v>
      </c>
      <c r="M35" s="4">
        <v>9.8</v>
      </c>
      <c r="N35" s="4">
        <v>8.3</v>
      </c>
      <c r="O35" s="4">
        <v>104.8</v>
      </c>
    </row>
    <row r="37">
      <c r="A37" s="1" t="s">
        <v>27</v>
      </c>
    </row>
    <row r="38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  <c r="I38" s="2" t="s">
        <v>9</v>
      </c>
      <c r="J38" s="2" t="s">
        <v>10</v>
      </c>
      <c r="K38" s="2" t="s">
        <v>11</v>
      </c>
      <c r="L38" s="2" t="s">
        <v>12</v>
      </c>
      <c r="M38" s="2" t="s">
        <v>13</v>
      </c>
      <c r="N38" s="2" t="s">
        <v>14</v>
      </c>
      <c r="O38" s="2" t="s">
        <v>15</v>
      </c>
    </row>
    <row r="39">
      <c r="A39" s="6">
        <v>144.0</v>
      </c>
      <c r="B39" s="7" t="s">
        <v>16</v>
      </c>
      <c r="C39" s="6">
        <v>4.1</v>
      </c>
      <c r="D39" s="6">
        <v>2.0</v>
      </c>
      <c r="E39" s="6">
        <v>6.0</v>
      </c>
      <c r="F39" s="6">
        <v>5.0</v>
      </c>
      <c r="G39" s="6">
        <v>3.0</v>
      </c>
      <c r="H39" s="6">
        <v>4.0</v>
      </c>
      <c r="I39" s="6">
        <v>4.4</v>
      </c>
      <c r="J39" s="6">
        <v>3.9</v>
      </c>
      <c r="K39" s="6">
        <v>4.1</v>
      </c>
      <c r="L39" s="6">
        <v>3.0</v>
      </c>
      <c r="M39" s="6">
        <v>2.7</v>
      </c>
      <c r="N39" s="6">
        <v>3.8</v>
      </c>
      <c r="O39" s="6">
        <v>46.1</v>
      </c>
    </row>
    <row r="40">
      <c r="A40" s="4">
        <v>126.0</v>
      </c>
      <c r="B40" s="5" t="s">
        <v>17</v>
      </c>
      <c r="C40" s="4">
        <v>7.0</v>
      </c>
      <c r="D40" s="4">
        <v>3.6</v>
      </c>
      <c r="E40" s="4">
        <v>3.9</v>
      </c>
      <c r="F40" s="4">
        <v>8.3</v>
      </c>
      <c r="G40" s="4">
        <v>5.9</v>
      </c>
      <c r="H40" s="4">
        <v>3.3</v>
      </c>
      <c r="I40" s="4">
        <v>5.3</v>
      </c>
      <c r="J40" s="4">
        <v>5.4</v>
      </c>
      <c r="K40" s="4">
        <v>5.3</v>
      </c>
      <c r="L40" s="4">
        <v>5.9</v>
      </c>
      <c r="M40" s="4">
        <v>4.9</v>
      </c>
      <c r="N40" s="4">
        <v>3.3</v>
      </c>
      <c r="O40" s="4">
        <v>62.1</v>
      </c>
    </row>
    <row r="41">
      <c r="A41" s="6">
        <v>138.0</v>
      </c>
      <c r="B41" s="7" t="s">
        <v>18</v>
      </c>
      <c r="C41" s="6">
        <v>4.3</v>
      </c>
      <c r="D41" s="6">
        <v>2.0</v>
      </c>
      <c r="E41" s="6">
        <v>4.8</v>
      </c>
      <c r="F41" s="6">
        <v>4.4</v>
      </c>
      <c r="G41" s="6">
        <v>4.3</v>
      </c>
      <c r="H41" s="6">
        <v>6.4</v>
      </c>
      <c r="I41" s="6">
        <v>5.4</v>
      </c>
      <c r="J41" s="6">
        <v>3.9</v>
      </c>
      <c r="K41" s="6">
        <v>3.0</v>
      </c>
      <c r="L41" s="6">
        <v>3.9</v>
      </c>
      <c r="M41" s="6">
        <v>3.0</v>
      </c>
      <c r="N41" s="6">
        <v>5.1</v>
      </c>
      <c r="O41" s="6">
        <v>50.6</v>
      </c>
    </row>
    <row r="42">
      <c r="A42" s="4">
        <v>147.0</v>
      </c>
      <c r="B42" s="5" t="s">
        <v>19</v>
      </c>
      <c r="C42" s="4">
        <v>3.8</v>
      </c>
      <c r="D42" s="4">
        <v>3.3</v>
      </c>
      <c r="E42" s="4">
        <v>4.7</v>
      </c>
      <c r="F42" s="4">
        <v>2.6</v>
      </c>
      <c r="G42" s="4">
        <v>3.6</v>
      </c>
      <c r="H42" s="4">
        <v>4.8</v>
      </c>
      <c r="I42" s="4">
        <v>4.7</v>
      </c>
      <c r="J42" s="4">
        <v>2.4</v>
      </c>
      <c r="K42" s="4">
        <v>2.9</v>
      </c>
      <c r="L42" s="4">
        <v>5.0</v>
      </c>
      <c r="M42" s="4">
        <v>4.8</v>
      </c>
      <c r="N42" s="4">
        <v>2.0</v>
      </c>
      <c r="O42" s="4">
        <v>44.6</v>
      </c>
    </row>
    <row r="43">
      <c r="A43" s="6">
        <v>54.0</v>
      </c>
      <c r="B43" s="7" t="s">
        <v>20</v>
      </c>
      <c r="C43" s="6">
        <v>5.5</v>
      </c>
      <c r="D43" s="6">
        <v>5.4</v>
      </c>
      <c r="E43" s="6">
        <v>7.4</v>
      </c>
      <c r="F43" s="6">
        <v>4.2</v>
      </c>
      <c r="G43" s="6">
        <v>6.7</v>
      </c>
      <c r="H43" s="6">
        <v>5.0</v>
      </c>
      <c r="I43" s="6">
        <v>8.4</v>
      </c>
      <c r="J43" s="6">
        <v>7.3</v>
      </c>
      <c r="K43" s="6">
        <v>9.0</v>
      </c>
      <c r="L43" s="6">
        <v>8.9</v>
      </c>
      <c r="M43" s="6">
        <v>8.0</v>
      </c>
      <c r="N43" s="6">
        <v>8.8</v>
      </c>
      <c r="O43" s="6">
        <v>84.5</v>
      </c>
    </row>
    <row r="44">
      <c r="A44" s="4">
        <v>149.0</v>
      </c>
      <c r="B44" s="5" t="s">
        <v>21</v>
      </c>
      <c r="C44" s="4">
        <v>2.8</v>
      </c>
      <c r="D44" s="4">
        <v>2.3</v>
      </c>
      <c r="E44" s="4">
        <v>5.8</v>
      </c>
      <c r="F44" s="4">
        <v>3.0</v>
      </c>
      <c r="G44" s="4">
        <v>4.1</v>
      </c>
      <c r="H44" s="4">
        <v>5.5</v>
      </c>
      <c r="I44" s="4">
        <v>3.3</v>
      </c>
      <c r="J44" s="4">
        <v>3.3</v>
      </c>
      <c r="K44" s="4">
        <v>2.2</v>
      </c>
      <c r="L44" s="4">
        <v>4.1</v>
      </c>
      <c r="M44" s="4">
        <v>6.0</v>
      </c>
      <c r="N44" s="4">
        <v>2.0</v>
      </c>
      <c r="O44" s="4">
        <v>44.4</v>
      </c>
    </row>
    <row r="45">
      <c r="A45" s="6">
        <v>21.0</v>
      </c>
      <c r="B45" s="7" t="s">
        <v>22</v>
      </c>
      <c r="C45" s="6">
        <v>5.6</v>
      </c>
      <c r="D45" s="6">
        <v>9.5</v>
      </c>
      <c r="E45" s="6">
        <v>9.3</v>
      </c>
      <c r="F45" s="6">
        <v>6.2</v>
      </c>
      <c r="G45" s="6">
        <v>7.2</v>
      </c>
      <c r="H45" s="6">
        <v>6.4</v>
      </c>
      <c r="I45" s="6">
        <v>9.6</v>
      </c>
      <c r="J45" s="6">
        <v>7.0</v>
      </c>
      <c r="K45" s="6">
        <v>9.5</v>
      </c>
      <c r="L45" s="6">
        <v>9.8</v>
      </c>
      <c r="M45" s="6">
        <v>9.2</v>
      </c>
      <c r="N45" s="6">
        <v>8.1</v>
      </c>
      <c r="O45" s="6">
        <v>97.4</v>
      </c>
    </row>
    <row r="46">
      <c r="A46" s="4">
        <v>89.0</v>
      </c>
      <c r="B46" s="5" t="s">
        <v>23</v>
      </c>
      <c r="C46" s="4">
        <v>5.4</v>
      </c>
      <c r="D46" s="4">
        <v>4.8</v>
      </c>
      <c r="E46" s="4">
        <v>6.4</v>
      </c>
      <c r="F46" s="4">
        <v>5.8</v>
      </c>
      <c r="G46" s="4">
        <v>6.9</v>
      </c>
      <c r="H46" s="4">
        <v>5.4</v>
      </c>
      <c r="I46" s="4">
        <v>7.6</v>
      </c>
      <c r="J46" s="4">
        <v>6.5</v>
      </c>
      <c r="K46" s="4">
        <v>7.7</v>
      </c>
      <c r="L46" s="4">
        <v>6.5</v>
      </c>
      <c r="M46" s="4">
        <v>7.3</v>
      </c>
      <c r="N46" s="4">
        <v>4.9</v>
      </c>
      <c r="O46" s="4">
        <v>75.3</v>
      </c>
    </row>
    <row r="47">
      <c r="A47" s="6">
        <v>6.0</v>
      </c>
      <c r="B47" s="7" t="s">
        <v>24</v>
      </c>
      <c r="C47" s="6">
        <v>9.3</v>
      </c>
      <c r="D47" s="6">
        <v>9.2</v>
      </c>
      <c r="E47" s="6">
        <v>9.0</v>
      </c>
      <c r="F47" s="6">
        <v>7.4</v>
      </c>
      <c r="G47" s="6">
        <v>8.1</v>
      </c>
      <c r="H47" s="6">
        <v>9.2</v>
      </c>
      <c r="I47" s="6">
        <v>9.3</v>
      </c>
      <c r="J47" s="6">
        <v>8.7</v>
      </c>
      <c r="K47" s="6">
        <v>8.7</v>
      </c>
      <c r="L47" s="6">
        <v>9.8</v>
      </c>
      <c r="M47" s="6">
        <v>9.5</v>
      </c>
      <c r="N47" s="6">
        <v>8.7</v>
      </c>
      <c r="O47" s="6">
        <v>107.0</v>
      </c>
    </row>
    <row r="49">
      <c r="A49" s="1" t="s">
        <v>28</v>
      </c>
    </row>
    <row r="50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  <c r="H50" s="2" t="s">
        <v>8</v>
      </c>
      <c r="I50" s="2" t="s">
        <v>9</v>
      </c>
      <c r="J50" s="2" t="s">
        <v>10</v>
      </c>
      <c r="K50" s="2" t="s">
        <v>11</v>
      </c>
      <c r="L50" s="2" t="s">
        <v>12</v>
      </c>
      <c r="M50" s="2" t="s">
        <v>13</v>
      </c>
      <c r="N50" s="2" t="s">
        <v>14</v>
      </c>
      <c r="O50" s="2" t="s">
        <v>15</v>
      </c>
    </row>
    <row r="51">
      <c r="A51" s="4">
        <v>144.0</v>
      </c>
      <c r="B51" s="5" t="s">
        <v>16</v>
      </c>
      <c r="C51" s="4">
        <v>4.2</v>
      </c>
      <c r="D51" s="4">
        <v>2.3</v>
      </c>
      <c r="E51" s="4">
        <v>5.3</v>
      </c>
      <c r="F51" s="4">
        <v>2.7</v>
      </c>
      <c r="G51" s="4">
        <v>5.7</v>
      </c>
      <c r="H51" s="4">
        <v>4.3</v>
      </c>
      <c r="I51" s="4">
        <v>4.3</v>
      </c>
      <c r="J51" s="4">
        <v>4.1</v>
      </c>
      <c r="K51" s="4">
        <v>4.4</v>
      </c>
      <c r="L51" s="4">
        <v>3.3</v>
      </c>
      <c r="M51" s="4">
        <v>2.8</v>
      </c>
      <c r="N51" s="4">
        <v>3.9</v>
      </c>
      <c r="O51" s="4">
        <v>47.3</v>
      </c>
    </row>
    <row r="52">
      <c r="A52" s="6">
        <v>125.0</v>
      </c>
      <c r="B52" s="7" t="s">
        <v>17</v>
      </c>
      <c r="C52" s="6">
        <v>6.7</v>
      </c>
      <c r="D52" s="6">
        <v>3.6</v>
      </c>
      <c r="E52" s="6">
        <v>3.8</v>
      </c>
      <c r="F52" s="6">
        <v>5.6</v>
      </c>
      <c r="G52" s="6">
        <v>8.0</v>
      </c>
      <c r="H52" s="6">
        <v>3.6</v>
      </c>
      <c r="I52" s="6">
        <v>5.4</v>
      </c>
      <c r="J52" s="6">
        <v>5.6</v>
      </c>
      <c r="K52" s="6">
        <v>5.6</v>
      </c>
      <c r="L52" s="6">
        <v>5.6</v>
      </c>
      <c r="M52" s="6">
        <v>4.9</v>
      </c>
      <c r="N52" s="6">
        <v>3.0</v>
      </c>
      <c r="O52" s="6">
        <v>61.4</v>
      </c>
    </row>
    <row r="53">
      <c r="A53" s="4">
        <v>137.0</v>
      </c>
      <c r="B53" s="5" t="s">
        <v>18</v>
      </c>
      <c r="C53" s="4">
        <v>3.5</v>
      </c>
      <c r="D53" s="4">
        <v>1.9</v>
      </c>
      <c r="E53" s="4">
        <v>5.1</v>
      </c>
      <c r="F53" s="4">
        <v>4.1</v>
      </c>
      <c r="G53" s="4">
        <v>4.0</v>
      </c>
      <c r="H53" s="4">
        <v>6.5</v>
      </c>
      <c r="I53" s="4">
        <v>6.4</v>
      </c>
      <c r="J53" s="4">
        <v>3.6</v>
      </c>
      <c r="K53" s="4">
        <v>3.7</v>
      </c>
      <c r="L53" s="4">
        <v>4.2</v>
      </c>
      <c r="M53" s="4">
        <v>3.5</v>
      </c>
      <c r="N53" s="4">
        <v>5.6</v>
      </c>
      <c r="O53" s="4">
        <v>52.1</v>
      </c>
    </row>
    <row r="54">
      <c r="A54" s="6">
        <v>148.0</v>
      </c>
      <c r="B54" s="7" t="s">
        <v>19</v>
      </c>
      <c r="C54" s="6">
        <v>3.6</v>
      </c>
      <c r="D54" s="6">
        <v>3.4</v>
      </c>
      <c r="E54" s="6">
        <v>4.6</v>
      </c>
      <c r="F54" s="6">
        <v>2.3</v>
      </c>
      <c r="G54" s="6">
        <v>3.3</v>
      </c>
      <c r="H54" s="6">
        <v>5.1</v>
      </c>
      <c r="I54" s="6">
        <v>4.2</v>
      </c>
      <c r="J54" s="6">
        <v>2.6</v>
      </c>
      <c r="K54" s="6">
        <v>2.8</v>
      </c>
      <c r="L54" s="6">
        <v>4.7</v>
      </c>
      <c r="M54" s="6">
        <v>4.9</v>
      </c>
      <c r="N54" s="6">
        <v>1.9</v>
      </c>
      <c r="O54" s="6">
        <v>43.4</v>
      </c>
    </row>
    <row r="55">
      <c r="A55" s="4">
        <v>41.0</v>
      </c>
      <c r="B55" s="5" t="s">
        <v>20</v>
      </c>
      <c r="C55" s="4">
        <v>5.7</v>
      </c>
      <c r="D55" s="4">
        <v>5.7</v>
      </c>
      <c r="E55" s="4">
        <v>7.5</v>
      </c>
      <c r="F55" s="4">
        <v>5.5</v>
      </c>
      <c r="G55" s="4">
        <v>6.4</v>
      </c>
      <c r="H55" s="4">
        <v>6.1</v>
      </c>
      <c r="I55" s="4">
        <v>8.5</v>
      </c>
      <c r="J55" s="4">
        <v>7.4</v>
      </c>
      <c r="K55" s="4">
        <v>8.7</v>
      </c>
      <c r="L55" s="4">
        <v>9.2</v>
      </c>
      <c r="M55" s="4">
        <v>8.1</v>
      </c>
      <c r="N55" s="4">
        <v>9.0</v>
      </c>
      <c r="O55" s="4">
        <v>87.8</v>
      </c>
    </row>
    <row r="56">
      <c r="A56" s="6">
        <v>150.0</v>
      </c>
      <c r="B56" s="7" t="s">
        <v>21</v>
      </c>
      <c r="C56" s="6">
        <v>3.0</v>
      </c>
      <c r="D56" s="6">
        <v>2.0</v>
      </c>
      <c r="E56" s="6">
        <v>6.1</v>
      </c>
      <c r="F56" s="6">
        <v>2.7</v>
      </c>
      <c r="G56" s="6">
        <v>3.8</v>
      </c>
      <c r="H56" s="6">
        <v>5.3</v>
      </c>
      <c r="I56" s="6">
        <v>3.4</v>
      </c>
      <c r="J56" s="6">
        <v>3.0</v>
      </c>
      <c r="K56" s="6">
        <v>2.2</v>
      </c>
      <c r="L56" s="6">
        <v>3.6</v>
      </c>
      <c r="M56" s="6">
        <v>6.1</v>
      </c>
      <c r="N56" s="6">
        <v>1.9</v>
      </c>
      <c r="O56" s="6">
        <v>43.1</v>
      </c>
    </row>
    <row r="57">
      <c r="A57" s="4">
        <v>15.0</v>
      </c>
      <c r="B57" s="5" t="s">
        <v>22</v>
      </c>
      <c r="C57" s="4">
        <v>6.0</v>
      </c>
      <c r="D57" s="4">
        <v>10.0</v>
      </c>
      <c r="E57" s="4">
        <v>10.0</v>
      </c>
      <c r="F57" s="4">
        <v>6.9</v>
      </c>
      <c r="G57" s="4">
        <v>6.9</v>
      </c>
      <c r="H57" s="4">
        <v>6.7</v>
      </c>
      <c r="I57" s="4">
        <v>9.8</v>
      </c>
      <c r="J57" s="4">
        <v>7.2</v>
      </c>
      <c r="K57" s="4">
        <v>9.9</v>
      </c>
      <c r="L57" s="4">
        <v>10.0</v>
      </c>
      <c r="M57" s="4">
        <v>9.6</v>
      </c>
      <c r="N57" s="4">
        <v>8.6</v>
      </c>
      <c r="O57" s="4">
        <v>101.6</v>
      </c>
    </row>
    <row r="58">
      <c r="A58" s="6">
        <v>83.0</v>
      </c>
      <c r="B58" s="7" t="s">
        <v>23</v>
      </c>
      <c r="C58" s="6">
        <v>5.4</v>
      </c>
      <c r="D58" s="6">
        <v>5.1</v>
      </c>
      <c r="E58" s="6">
        <v>6.8</v>
      </c>
      <c r="F58" s="6">
        <v>5.5</v>
      </c>
      <c r="G58" s="6">
        <v>6.9</v>
      </c>
      <c r="H58" s="6">
        <v>5.5</v>
      </c>
      <c r="I58" s="6">
        <v>7.7</v>
      </c>
      <c r="J58" s="6">
        <v>7.5</v>
      </c>
      <c r="K58" s="6">
        <v>7.8</v>
      </c>
      <c r="L58" s="6">
        <v>6.2</v>
      </c>
      <c r="M58" s="6">
        <v>7.7</v>
      </c>
      <c r="N58" s="6">
        <v>4.6</v>
      </c>
      <c r="O58" s="6">
        <v>76.7</v>
      </c>
    </row>
    <row r="59">
      <c r="A59" s="4">
        <v>8.0</v>
      </c>
      <c r="B59" s="5" t="s">
        <v>24</v>
      </c>
      <c r="C59" s="4">
        <v>9.1</v>
      </c>
      <c r="D59" s="4">
        <v>9.0</v>
      </c>
      <c r="E59" s="4">
        <v>9.3</v>
      </c>
      <c r="F59" s="4">
        <v>7.3</v>
      </c>
      <c r="G59" s="4">
        <v>7.8</v>
      </c>
      <c r="H59" s="4">
        <v>9.1</v>
      </c>
      <c r="I59" s="4">
        <v>8.9</v>
      </c>
      <c r="J59" s="4">
        <v>8.5</v>
      </c>
      <c r="K59" s="4">
        <v>9.0</v>
      </c>
      <c r="L59" s="4">
        <v>9.5</v>
      </c>
      <c r="M59" s="4">
        <v>9.4</v>
      </c>
      <c r="N59" s="4">
        <v>8.5</v>
      </c>
      <c r="O59" s="4">
        <v>105.4</v>
      </c>
    </row>
    <row r="61">
      <c r="A61" s="1" t="s">
        <v>29</v>
      </c>
    </row>
    <row r="62">
      <c r="A62" s="2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  <c r="G62" s="2" t="s">
        <v>7</v>
      </c>
      <c r="H62" s="2" t="s">
        <v>8</v>
      </c>
      <c r="I62" s="2" t="s">
        <v>9</v>
      </c>
      <c r="J62" s="2" t="s">
        <v>10</v>
      </c>
      <c r="K62" s="2" t="s">
        <v>11</v>
      </c>
      <c r="L62" s="2" t="s">
        <v>12</v>
      </c>
      <c r="M62" s="2" t="s">
        <v>13</v>
      </c>
      <c r="N62" s="2" t="s">
        <v>14</v>
      </c>
      <c r="O62" s="2" t="s">
        <v>15</v>
      </c>
    </row>
    <row r="63">
      <c r="A63" s="4">
        <v>141.0</v>
      </c>
      <c r="B63" s="5" t="s">
        <v>16</v>
      </c>
      <c r="C63" s="4">
        <v>3.8</v>
      </c>
      <c r="D63" s="4">
        <v>2.0</v>
      </c>
      <c r="E63" s="4">
        <v>5.0</v>
      </c>
      <c r="F63" s="4">
        <v>3.0</v>
      </c>
      <c r="G63" s="4">
        <v>5.4</v>
      </c>
      <c r="H63" s="4">
        <v>4.9</v>
      </c>
      <c r="I63" s="4">
        <v>4.7</v>
      </c>
      <c r="J63" s="4">
        <v>4.3</v>
      </c>
      <c r="K63" s="4">
        <v>4.1</v>
      </c>
      <c r="L63" s="4">
        <v>3.6</v>
      </c>
      <c r="M63" s="4">
        <v>2.8</v>
      </c>
      <c r="N63" s="4">
        <v>4.0</v>
      </c>
      <c r="O63" s="4">
        <v>47.6</v>
      </c>
    </row>
    <row r="64">
      <c r="A64" s="6">
        <v>123.0</v>
      </c>
      <c r="B64" s="7" t="s">
        <v>17</v>
      </c>
      <c r="C64" s="6">
        <v>7.6</v>
      </c>
      <c r="D64" s="6">
        <v>3.1</v>
      </c>
      <c r="E64" s="6">
        <v>5.9</v>
      </c>
      <c r="F64" s="6">
        <v>4.1</v>
      </c>
      <c r="G64" s="6">
        <v>7.7</v>
      </c>
      <c r="H64" s="6">
        <v>3.9</v>
      </c>
      <c r="I64" s="6">
        <v>6.1</v>
      </c>
      <c r="J64" s="6">
        <v>5.9</v>
      </c>
      <c r="K64" s="6">
        <v>5.8</v>
      </c>
      <c r="L64" s="6">
        <v>5.9</v>
      </c>
      <c r="M64" s="6">
        <v>4.9</v>
      </c>
      <c r="N64" s="6">
        <v>2.7</v>
      </c>
      <c r="O64" s="6">
        <v>62.6</v>
      </c>
    </row>
    <row r="65">
      <c r="A65" s="4">
        <v>134.0</v>
      </c>
      <c r="B65" s="5" t="s">
        <v>18</v>
      </c>
      <c r="C65" s="4">
        <v>3.6</v>
      </c>
      <c r="D65" s="4">
        <v>1.6</v>
      </c>
      <c r="E65" s="4">
        <v>5.0</v>
      </c>
      <c r="F65" s="4">
        <v>3.8</v>
      </c>
      <c r="G65" s="4">
        <v>4.2</v>
      </c>
      <c r="H65" s="4">
        <v>6.5</v>
      </c>
      <c r="I65" s="4">
        <v>6.5</v>
      </c>
      <c r="J65" s="4">
        <v>3.9</v>
      </c>
      <c r="K65" s="4">
        <v>3.4</v>
      </c>
      <c r="L65" s="4">
        <v>4.5</v>
      </c>
      <c r="M65" s="4">
        <v>3.7</v>
      </c>
      <c r="N65" s="4">
        <v>5.9</v>
      </c>
      <c r="O65" s="4">
        <v>52.6</v>
      </c>
    </row>
    <row r="66">
      <c r="A66" s="6">
        <v>147.0</v>
      </c>
      <c r="B66" s="7" t="s">
        <v>19</v>
      </c>
      <c r="C66" s="6">
        <v>3.8</v>
      </c>
      <c r="D66" s="6">
        <v>2.0</v>
      </c>
      <c r="E66" s="6">
        <v>4.9</v>
      </c>
      <c r="F66" s="6">
        <v>2.0</v>
      </c>
      <c r="G66" s="6">
        <v>3.4</v>
      </c>
      <c r="H66" s="6">
        <v>5.6</v>
      </c>
      <c r="I66" s="6">
        <v>4.2</v>
      </c>
      <c r="J66" s="6">
        <v>2.3</v>
      </c>
      <c r="K66" s="6">
        <v>2.5</v>
      </c>
      <c r="L66" s="6">
        <v>4.4</v>
      </c>
      <c r="M66" s="6">
        <v>4.9</v>
      </c>
      <c r="N66" s="6">
        <v>2.2</v>
      </c>
      <c r="O66" s="6">
        <v>43.2</v>
      </c>
    </row>
    <row r="67">
      <c r="A67" s="4">
        <v>25.0</v>
      </c>
      <c r="B67" s="5" t="s">
        <v>20</v>
      </c>
      <c r="C67" s="4">
        <v>5.4</v>
      </c>
      <c r="D67" s="4">
        <v>7.4</v>
      </c>
      <c r="E67" s="4">
        <v>7.8</v>
      </c>
      <c r="F67" s="4">
        <v>6.4</v>
      </c>
      <c r="G67" s="4">
        <v>6.1</v>
      </c>
      <c r="H67" s="4">
        <v>8.0</v>
      </c>
      <c r="I67" s="4">
        <v>9.9</v>
      </c>
      <c r="J67" s="4">
        <v>7.5</v>
      </c>
      <c r="K67" s="4">
        <v>9.0</v>
      </c>
      <c r="L67" s="4">
        <v>9.3</v>
      </c>
      <c r="M67" s="4">
        <v>9.1</v>
      </c>
      <c r="N67" s="4">
        <v>9.5</v>
      </c>
      <c r="O67" s="4">
        <v>95.3</v>
      </c>
    </row>
    <row r="68">
      <c r="A68" s="6">
        <v>151.0</v>
      </c>
      <c r="B68" s="7" t="s">
        <v>21</v>
      </c>
      <c r="C68" s="6">
        <v>2.5</v>
      </c>
      <c r="D68" s="6">
        <v>1.7</v>
      </c>
      <c r="E68" s="6">
        <v>5.8</v>
      </c>
      <c r="F68" s="6">
        <v>2.4</v>
      </c>
      <c r="G68" s="6">
        <v>4.0</v>
      </c>
      <c r="H68" s="6">
        <v>5.0</v>
      </c>
      <c r="I68" s="6">
        <v>3.3</v>
      </c>
      <c r="J68" s="6">
        <v>2.7</v>
      </c>
      <c r="K68" s="6">
        <v>1.9</v>
      </c>
      <c r="L68" s="6">
        <v>3.3</v>
      </c>
      <c r="M68" s="6">
        <v>6.1</v>
      </c>
      <c r="N68" s="6">
        <v>2.2</v>
      </c>
      <c r="O68" s="6">
        <v>40.9</v>
      </c>
    </row>
    <row r="69">
      <c r="A69" s="4">
        <f>8</f>
        <v>8</v>
      </c>
      <c r="B69" s="5" t="s">
        <v>22</v>
      </c>
      <c r="C69" s="4">
        <v>8.1</v>
      </c>
      <c r="D69" s="4">
        <v>10.0</v>
      </c>
      <c r="E69" s="4">
        <v>10.0</v>
      </c>
      <c r="F69" s="4">
        <v>7.4</v>
      </c>
      <c r="G69" s="4">
        <v>7.0</v>
      </c>
      <c r="H69" s="4">
        <v>7.5</v>
      </c>
      <c r="I69" s="4">
        <v>9.9</v>
      </c>
      <c r="J69" s="4">
        <v>8.2</v>
      </c>
      <c r="K69" s="4">
        <v>10.0</v>
      </c>
      <c r="L69" s="4">
        <v>10.0</v>
      </c>
      <c r="M69" s="4">
        <v>9.9</v>
      </c>
      <c r="N69" s="4">
        <v>9.9</v>
      </c>
      <c r="O69" s="4">
        <v>107.9</v>
      </c>
    </row>
    <row r="70">
      <c r="A70" s="6">
        <v>75.0</v>
      </c>
      <c r="B70" s="7" t="s">
        <v>23</v>
      </c>
      <c r="C70" s="6">
        <v>5.1</v>
      </c>
      <c r="D70" s="6">
        <v>4.8</v>
      </c>
      <c r="E70" s="6">
        <v>7.3</v>
      </c>
      <c r="F70" s="6">
        <v>5.2</v>
      </c>
      <c r="G70" s="6">
        <v>6.7</v>
      </c>
      <c r="H70" s="6">
        <v>6.5</v>
      </c>
      <c r="I70" s="6">
        <v>8.6</v>
      </c>
      <c r="J70" s="6">
        <v>7.2</v>
      </c>
      <c r="K70" s="6">
        <v>8.3</v>
      </c>
      <c r="L70" s="6">
        <v>6.5</v>
      </c>
      <c r="M70" s="6">
        <v>8.1</v>
      </c>
      <c r="N70" s="6">
        <v>4.3</v>
      </c>
      <c r="O70" s="6">
        <v>78.6</v>
      </c>
    </row>
    <row r="71">
      <c r="A71" s="4">
        <v>7.0</v>
      </c>
      <c r="B71" s="5" t="s">
        <v>24</v>
      </c>
      <c r="C71" s="4">
        <v>9.2</v>
      </c>
      <c r="D71" s="4">
        <v>9.1</v>
      </c>
      <c r="E71" s="4">
        <v>9.4</v>
      </c>
      <c r="F71" s="4">
        <v>7.5</v>
      </c>
      <c r="G71" s="4">
        <v>8.1</v>
      </c>
      <c r="H71" s="4">
        <v>9.3</v>
      </c>
      <c r="I71" s="4">
        <v>9.3</v>
      </c>
      <c r="J71" s="4">
        <v>8.2</v>
      </c>
      <c r="K71" s="4">
        <v>9.1</v>
      </c>
      <c r="L71" s="4">
        <v>10.0</v>
      </c>
      <c r="M71" s="4">
        <v>9.4</v>
      </c>
      <c r="N71" s="4">
        <v>9.5</v>
      </c>
      <c r="O71" s="4">
        <v>108.1</v>
      </c>
    </row>
    <row r="73">
      <c r="A73" s="1" t="s">
        <v>30</v>
      </c>
    </row>
    <row r="74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F74" s="2" t="s">
        <v>6</v>
      </c>
      <c r="G74" s="2" t="s">
        <v>7</v>
      </c>
      <c r="H74" s="2" t="s">
        <v>8</v>
      </c>
      <c r="I74" s="2" t="s">
        <v>9</v>
      </c>
      <c r="J74" s="2" t="s">
        <v>10</v>
      </c>
      <c r="K74" s="2" t="s">
        <v>11</v>
      </c>
      <c r="L74" s="2" t="s">
        <v>12</v>
      </c>
      <c r="M74" s="2" t="s">
        <v>13</v>
      </c>
      <c r="N74" s="2" t="s">
        <v>14</v>
      </c>
      <c r="O74" s="2" t="s">
        <v>15</v>
      </c>
    </row>
    <row r="75">
      <c r="A75" s="4">
        <v>140.0</v>
      </c>
      <c r="B75" s="5" t="s">
        <v>16</v>
      </c>
      <c r="C75" s="4">
        <v>4.0</v>
      </c>
      <c r="D75" s="4">
        <v>2.5</v>
      </c>
      <c r="E75" s="4">
        <v>4.7</v>
      </c>
      <c r="F75" s="4">
        <v>2.7</v>
      </c>
      <c r="G75" s="4">
        <v>5.1</v>
      </c>
      <c r="H75" s="4">
        <v>5.5</v>
      </c>
      <c r="I75" s="4">
        <v>6.0</v>
      </c>
      <c r="J75" s="4">
        <v>4.0</v>
      </c>
      <c r="K75" s="4">
        <v>3.8</v>
      </c>
      <c r="L75" s="4">
        <v>4.0</v>
      </c>
      <c r="M75" s="4">
        <v>2.8</v>
      </c>
      <c r="N75" s="4">
        <v>4.3</v>
      </c>
      <c r="O75" s="4">
        <v>48.4</v>
      </c>
    </row>
    <row r="76">
      <c r="A76" s="6">
        <v>119.0</v>
      </c>
      <c r="B76" s="7" t="s">
        <v>17</v>
      </c>
      <c r="C76" s="6">
        <v>7.6</v>
      </c>
      <c r="D76" s="6">
        <v>2.9</v>
      </c>
      <c r="E76" s="6">
        <v>4.3</v>
      </c>
      <c r="F76" s="6">
        <v>5.7</v>
      </c>
      <c r="G76" s="6">
        <v>8.0</v>
      </c>
      <c r="H76" s="6">
        <v>4.5</v>
      </c>
      <c r="I76" s="6">
        <v>6.9</v>
      </c>
      <c r="J76" s="6">
        <v>6.0</v>
      </c>
      <c r="K76" s="6">
        <v>6.1</v>
      </c>
      <c r="L76" s="6">
        <v>6.4</v>
      </c>
      <c r="M76" s="6">
        <v>4.9</v>
      </c>
      <c r="N76" s="6">
        <v>3.0</v>
      </c>
      <c r="O76" s="6">
        <v>65.3</v>
      </c>
    </row>
    <row r="77">
      <c r="A77" s="4">
        <v>130.0</v>
      </c>
      <c r="B77" s="5" t="s">
        <v>18</v>
      </c>
      <c r="C77" s="4">
        <v>3.9</v>
      </c>
      <c r="D77" s="4">
        <v>5.0</v>
      </c>
      <c r="E77" s="4">
        <v>3.5</v>
      </c>
      <c r="F77" s="4">
        <v>5.1</v>
      </c>
      <c r="G77" s="4">
        <v>3.9</v>
      </c>
      <c r="H77" s="4">
        <v>7.0</v>
      </c>
      <c r="I77" s="4">
        <v>6.2</v>
      </c>
      <c r="J77" s="4">
        <v>4.0</v>
      </c>
      <c r="K77" s="4">
        <v>3.2</v>
      </c>
      <c r="L77" s="4">
        <v>4.2</v>
      </c>
      <c r="M77" s="4">
        <v>3.8</v>
      </c>
      <c r="N77" s="4">
        <v>6.1</v>
      </c>
      <c r="O77" s="4">
        <v>55.9</v>
      </c>
    </row>
    <row r="78">
      <c r="A78" s="6">
        <v>148.0</v>
      </c>
      <c r="B78" s="7" t="s">
        <v>19</v>
      </c>
      <c r="C78" s="6">
        <v>2.8</v>
      </c>
      <c r="D78" s="6">
        <v>5.0</v>
      </c>
      <c r="E78" s="6">
        <v>5.0</v>
      </c>
      <c r="F78" s="6">
        <v>1.7</v>
      </c>
      <c r="G78" s="6">
        <v>3.1</v>
      </c>
      <c r="H78" s="6">
        <v>5.5</v>
      </c>
      <c r="I78" s="6">
        <v>3.9</v>
      </c>
      <c r="J78" s="6">
        <v>2.3</v>
      </c>
      <c r="K78" s="6">
        <v>2.2</v>
      </c>
      <c r="L78" s="6">
        <v>4.2</v>
      </c>
      <c r="M78" s="6">
        <v>4.9</v>
      </c>
      <c r="N78" s="6">
        <v>2.5</v>
      </c>
      <c r="O78" s="6">
        <v>43.1</v>
      </c>
    </row>
    <row r="79">
      <c r="A79" s="4">
        <v>25.0</v>
      </c>
      <c r="B79" s="5" t="s">
        <v>20</v>
      </c>
      <c r="C79" s="4">
        <v>5.1</v>
      </c>
      <c r="D79" s="4">
        <v>8.0</v>
      </c>
      <c r="E79" s="4">
        <v>6.5</v>
      </c>
      <c r="F79" s="4">
        <v>8.3</v>
      </c>
      <c r="G79" s="4">
        <v>5.8</v>
      </c>
      <c r="H79" s="4">
        <v>8.0</v>
      </c>
      <c r="I79" s="4">
        <v>9.5</v>
      </c>
      <c r="J79" s="4">
        <v>7.2</v>
      </c>
      <c r="K79" s="4">
        <v>9.3</v>
      </c>
      <c r="L79" s="4">
        <v>9.6</v>
      </c>
      <c r="M79" s="4">
        <v>9.4</v>
      </c>
      <c r="N79" s="4">
        <v>9.7</v>
      </c>
      <c r="O79" s="4">
        <v>96.4</v>
      </c>
    </row>
    <row r="80">
      <c r="A80" s="6">
        <v>153.0</v>
      </c>
      <c r="B80" s="7" t="s">
        <v>21</v>
      </c>
      <c r="C80" s="6">
        <v>2.2</v>
      </c>
      <c r="D80" s="6">
        <v>2.0</v>
      </c>
      <c r="E80" s="6">
        <v>2.1</v>
      </c>
      <c r="F80" s="6">
        <v>5.9</v>
      </c>
      <c r="G80" s="6">
        <v>3.7</v>
      </c>
      <c r="H80" s="6">
        <v>5.2</v>
      </c>
      <c r="I80" s="6">
        <v>3.0</v>
      </c>
      <c r="J80" s="6">
        <v>2.4</v>
      </c>
      <c r="K80" s="6">
        <v>2.0</v>
      </c>
      <c r="L80" s="6">
        <v>3.0</v>
      </c>
      <c r="M80" s="6">
        <v>6.3</v>
      </c>
      <c r="N80" s="6">
        <v>2.0</v>
      </c>
      <c r="O80" s="6">
        <v>39.8</v>
      </c>
    </row>
    <row r="81">
      <c r="A81" s="4">
        <v>6.0</v>
      </c>
      <c r="B81" s="5" t="s">
        <v>22</v>
      </c>
      <c r="C81" s="4">
        <v>8.4</v>
      </c>
      <c r="D81" s="4">
        <v>10.0</v>
      </c>
      <c r="E81" s="4">
        <v>10.0</v>
      </c>
      <c r="F81" s="4">
        <v>8.6</v>
      </c>
      <c r="G81" s="4">
        <v>7.4</v>
      </c>
      <c r="H81" s="4">
        <v>7.8</v>
      </c>
      <c r="I81" s="4">
        <v>10.0</v>
      </c>
      <c r="J81" s="4">
        <v>8.9</v>
      </c>
      <c r="K81" s="4">
        <v>9.8</v>
      </c>
      <c r="L81" s="4">
        <v>10.0</v>
      </c>
      <c r="M81" s="4">
        <v>9.9</v>
      </c>
      <c r="N81" s="4">
        <v>10.0</v>
      </c>
      <c r="O81" s="4">
        <v>110.8</v>
      </c>
    </row>
    <row r="82">
      <c r="A82" s="6">
        <v>63.0</v>
      </c>
      <c r="B82" s="7" t="s">
        <v>23</v>
      </c>
      <c r="C82" s="6">
        <v>5.2</v>
      </c>
      <c r="D82" s="6">
        <v>4.8</v>
      </c>
      <c r="E82" s="6">
        <v>7.4</v>
      </c>
      <c r="F82" s="6">
        <v>5.2</v>
      </c>
      <c r="G82" s="6">
        <v>6.9</v>
      </c>
      <c r="H82" s="6">
        <v>7.0</v>
      </c>
      <c r="I82" s="6">
        <v>6.7</v>
      </c>
      <c r="J82" s="6">
        <v>7.2</v>
      </c>
      <c r="K82" s="6">
        <v>8.6</v>
      </c>
      <c r="L82" s="6">
        <v>6.8</v>
      </c>
      <c r="M82" s="6">
        <v>8.2</v>
      </c>
      <c r="N82" s="6">
        <v>5.6</v>
      </c>
      <c r="O82" s="6">
        <v>81.6</v>
      </c>
    </row>
    <row r="83">
      <c r="A83" s="4">
        <f>4</f>
        <v>4</v>
      </c>
      <c r="B83" s="5" t="s">
        <v>24</v>
      </c>
      <c r="C83" s="4">
        <v>9.5</v>
      </c>
      <c r="D83" s="4">
        <v>9.6</v>
      </c>
      <c r="E83" s="4">
        <v>7.5</v>
      </c>
      <c r="F83" s="4">
        <v>9.5</v>
      </c>
      <c r="G83" s="4">
        <v>8.4</v>
      </c>
      <c r="H83" s="4">
        <v>9.4</v>
      </c>
      <c r="I83" s="4">
        <v>9.4</v>
      </c>
      <c r="J83" s="4">
        <v>9.3</v>
      </c>
      <c r="K83" s="4">
        <v>9.4</v>
      </c>
      <c r="L83" s="4">
        <v>10.0</v>
      </c>
      <c r="M83" s="4">
        <v>9.5</v>
      </c>
      <c r="N83" s="4">
        <v>10.0</v>
      </c>
      <c r="O83" s="4">
        <v>111.5</v>
      </c>
    </row>
    <row r="85">
      <c r="A85" s="1" t="s">
        <v>31</v>
      </c>
    </row>
    <row r="86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  <c r="G86" s="2" t="s">
        <v>7</v>
      </c>
      <c r="H86" s="2" t="s">
        <v>8</v>
      </c>
      <c r="I86" s="2" t="s">
        <v>9</v>
      </c>
      <c r="J86" s="2" t="s">
        <v>10</v>
      </c>
      <c r="K86" s="2" t="s">
        <v>11</v>
      </c>
      <c r="L86" s="2" t="s">
        <v>12</v>
      </c>
      <c r="M86" s="2" t="s">
        <v>13</v>
      </c>
      <c r="N86" s="2" t="s">
        <v>14</v>
      </c>
      <c r="O86" s="2" t="s">
        <v>15</v>
      </c>
    </row>
    <row r="87">
      <c r="A87" s="4">
        <v>140.0</v>
      </c>
      <c r="B87" s="5" t="s">
        <v>16</v>
      </c>
      <c r="C87" s="4">
        <v>4.3</v>
      </c>
      <c r="D87" s="4">
        <v>2.8</v>
      </c>
      <c r="E87" s="4">
        <v>5.0</v>
      </c>
      <c r="F87" s="4">
        <v>4.3</v>
      </c>
      <c r="G87" s="4">
        <v>5.4</v>
      </c>
      <c r="H87" s="4">
        <v>3.0</v>
      </c>
      <c r="I87" s="4">
        <v>4.8</v>
      </c>
      <c r="J87" s="4">
        <v>3.8</v>
      </c>
      <c r="K87" s="4">
        <v>4.1</v>
      </c>
      <c r="L87" s="4">
        <v>3.8</v>
      </c>
      <c r="M87" s="4">
        <v>2.3</v>
      </c>
      <c r="N87" s="4">
        <v>4.6</v>
      </c>
      <c r="O87" s="4">
        <v>48.2</v>
      </c>
    </row>
    <row r="88">
      <c r="A88" s="6">
        <v>110.0</v>
      </c>
      <c r="B88" s="7" t="s">
        <v>17</v>
      </c>
      <c r="C88" s="6">
        <v>6.7</v>
      </c>
      <c r="D88" s="6">
        <v>4.9</v>
      </c>
      <c r="E88" s="6">
        <v>6.2</v>
      </c>
      <c r="F88" s="6">
        <v>4.8</v>
      </c>
      <c r="G88" s="6">
        <v>7.8</v>
      </c>
      <c r="H88" s="6">
        <v>4.6</v>
      </c>
      <c r="I88" s="6">
        <v>6.2</v>
      </c>
      <c r="J88" s="6">
        <v>6.4</v>
      </c>
      <c r="K88" s="6">
        <v>6.4</v>
      </c>
      <c r="L88" s="6">
        <v>8.1</v>
      </c>
      <c r="M88" s="6">
        <v>2.8</v>
      </c>
      <c r="N88" s="6">
        <v>3.3</v>
      </c>
      <c r="O88" s="6">
        <v>68.2</v>
      </c>
    </row>
    <row r="89">
      <c r="A89" s="4">
        <v>127.0</v>
      </c>
      <c r="B89" s="5" t="s">
        <v>18</v>
      </c>
      <c r="C89" s="4">
        <v>4.5</v>
      </c>
      <c r="D89" s="4">
        <v>4.1</v>
      </c>
      <c r="E89" s="4">
        <v>5.4</v>
      </c>
      <c r="F89" s="4">
        <v>6.5</v>
      </c>
      <c r="G89" s="4">
        <v>3.7</v>
      </c>
      <c r="H89" s="4">
        <v>3.3</v>
      </c>
      <c r="I89" s="4">
        <v>6.7</v>
      </c>
      <c r="J89" s="4">
        <v>3.8</v>
      </c>
      <c r="K89" s="4">
        <v>3.2</v>
      </c>
      <c r="L89" s="4">
        <v>3.7</v>
      </c>
      <c r="M89" s="4">
        <v>6.5</v>
      </c>
      <c r="N89" s="4">
        <v>6.1</v>
      </c>
      <c r="O89" s="4">
        <v>57.5</v>
      </c>
    </row>
    <row r="90">
      <c r="A90" s="6">
        <v>142.0</v>
      </c>
      <c r="B90" s="7" t="s">
        <v>19</v>
      </c>
      <c r="C90" s="6">
        <v>4.5</v>
      </c>
      <c r="D90" s="6">
        <v>4.9</v>
      </c>
      <c r="E90" s="6">
        <v>4.8</v>
      </c>
      <c r="F90" s="6">
        <v>5.4</v>
      </c>
      <c r="G90" s="6">
        <v>2.9</v>
      </c>
      <c r="H90" s="6">
        <v>2.0</v>
      </c>
      <c r="I90" s="6">
        <v>3.7</v>
      </c>
      <c r="J90" s="6">
        <v>2.7</v>
      </c>
      <c r="K90" s="6">
        <v>2.0</v>
      </c>
      <c r="L90" s="6">
        <v>4.3</v>
      </c>
      <c r="M90" s="6">
        <v>5.5</v>
      </c>
      <c r="N90" s="6">
        <v>2.5</v>
      </c>
      <c r="O90" s="6">
        <v>45.2</v>
      </c>
    </row>
    <row r="91">
      <c r="A91" s="4">
        <v>23.0</v>
      </c>
      <c r="B91" s="5" t="s">
        <v>20</v>
      </c>
      <c r="C91" s="4">
        <v>9.6</v>
      </c>
      <c r="D91" s="4">
        <v>9.4</v>
      </c>
      <c r="E91" s="4">
        <v>8.1</v>
      </c>
      <c r="F91" s="4">
        <v>8.5</v>
      </c>
      <c r="G91" s="4">
        <v>5.6</v>
      </c>
      <c r="H91" s="4">
        <v>6.3</v>
      </c>
      <c r="I91" s="4">
        <v>9.5</v>
      </c>
      <c r="J91" s="4">
        <v>7.0</v>
      </c>
      <c r="K91" s="4">
        <v>9.1</v>
      </c>
      <c r="L91" s="4">
        <v>4.9</v>
      </c>
      <c r="M91" s="4">
        <v>8.3</v>
      </c>
      <c r="N91" s="4">
        <v>10.0</v>
      </c>
      <c r="O91" s="4">
        <v>96.3</v>
      </c>
    </row>
    <row r="92">
      <c r="A92" s="6">
        <v>155.0</v>
      </c>
      <c r="B92" s="7" t="s">
        <v>21</v>
      </c>
      <c r="C92" s="6">
        <v>2.8</v>
      </c>
      <c r="D92" s="6">
        <v>6.3</v>
      </c>
      <c r="E92" s="6">
        <v>5.7</v>
      </c>
      <c r="F92" s="6">
        <v>5.2</v>
      </c>
      <c r="G92" s="6">
        <v>3.5</v>
      </c>
      <c r="H92" s="6">
        <v>1.9</v>
      </c>
      <c r="I92" s="6">
        <v>2.8</v>
      </c>
      <c r="J92" s="6">
        <v>2.2</v>
      </c>
      <c r="K92" s="6">
        <v>1.8</v>
      </c>
      <c r="L92" s="6">
        <v>2.0</v>
      </c>
      <c r="M92" s="6">
        <v>1.9</v>
      </c>
      <c r="N92" s="6">
        <v>1.8</v>
      </c>
      <c r="O92" s="6">
        <v>37.9</v>
      </c>
    </row>
    <row r="93">
      <c r="A93" s="4">
        <v>5.0</v>
      </c>
      <c r="B93" s="5" t="s">
        <v>22</v>
      </c>
      <c r="C93" s="4">
        <v>9.8</v>
      </c>
      <c r="D93" s="4">
        <v>9.9</v>
      </c>
      <c r="E93" s="4">
        <v>9.8</v>
      </c>
      <c r="F93" s="4">
        <v>8.1</v>
      </c>
      <c r="G93" s="4">
        <v>7.7</v>
      </c>
      <c r="H93" s="4">
        <v>8.4</v>
      </c>
      <c r="I93" s="4">
        <v>9.9</v>
      </c>
      <c r="J93" s="4">
        <v>9.2</v>
      </c>
      <c r="K93" s="4">
        <v>9.8</v>
      </c>
      <c r="L93" s="4">
        <v>8.2</v>
      </c>
      <c r="M93" s="4">
        <v>9.8</v>
      </c>
      <c r="N93" s="4">
        <v>10.0</v>
      </c>
      <c r="O93" s="4">
        <v>110.6</v>
      </c>
    </row>
    <row r="94">
      <c r="A94" s="6">
        <v>58.0</v>
      </c>
      <c r="B94" s="7" t="s">
        <v>23</v>
      </c>
      <c r="C94" s="6">
        <v>7.3</v>
      </c>
      <c r="D94" s="6">
        <v>8.2</v>
      </c>
      <c r="E94" s="6">
        <v>7.2</v>
      </c>
      <c r="F94" s="6">
        <v>7.3</v>
      </c>
      <c r="G94" s="6">
        <v>6.7</v>
      </c>
      <c r="H94" s="6">
        <v>5.5</v>
      </c>
      <c r="I94" s="6">
        <v>8.5</v>
      </c>
      <c r="J94" s="6">
        <v>7.7</v>
      </c>
      <c r="K94" s="6">
        <v>8.9</v>
      </c>
      <c r="L94" s="6">
        <v>5.6</v>
      </c>
      <c r="M94" s="6">
        <v>4.6</v>
      </c>
      <c r="N94" s="6">
        <v>5.4</v>
      </c>
      <c r="O94" s="6">
        <v>82.9</v>
      </c>
    </row>
    <row r="95">
      <c r="A95" s="4">
        <v>4.0</v>
      </c>
      <c r="B95" s="5" t="s">
        <v>24</v>
      </c>
      <c r="C95" s="4">
        <v>9.8</v>
      </c>
      <c r="D95" s="4">
        <v>9.5</v>
      </c>
      <c r="E95" s="4">
        <v>9.3</v>
      </c>
      <c r="F95" s="4">
        <v>9.3</v>
      </c>
      <c r="G95" s="4">
        <v>8.2</v>
      </c>
      <c r="H95" s="4">
        <v>7.3</v>
      </c>
      <c r="I95" s="4">
        <v>9.7</v>
      </c>
      <c r="J95" s="4">
        <v>9.6</v>
      </c>
      <c r="K95" s="4">
        <v>9.7</v>
      </c>
      <c r="L95" s="4">
        <v>9.3</v>
      </c>
      <c r="M95" s="4">
        <v>9.4</v>
      </c>
      <c r="N95" s="4">
        <v>10.0</v>
      </c>
      <c r="O95" s="4">
        <v>111.1</v>
      </c>
    </row>
    <row r="97">
      <c r="A97" s="1" t="s">
        <v>32</v>
      </c>
    </row>
    <row r="98">
      <c r="A98" s="2" t="s">
        <v>1</v>
      </c>
      <c r="B98" s="2" t="s">
        <v>2</v>
      </c>
      <c r="C98" s="2" t="s">
        <v>3</v>
      </c>
      <c r="D98" s="2" t="s">
        <v>4</v>
      </c>
      <c r="E98" s="2" t="s">
        <v>5</v>
      </c>
      <c r="F98" s="2" t="s">
        <v>6</v>
      </c>
      <c r="G98" s="2" t="s">
        <v>7</v>
      </c>
      <c r="H98" s="2" t="s">
        <v>8</v>
      </c>
      <c r="I98" s="2" t="s">
        <v>9</v>
      </c>
      <c r="J98" s="2" t="s">
        <v>10</v>
      </c>
      <c r="K98" s="2" t="s">
        <v>11</v>
      </c>
      <c r="L98" s="2" t="s">
        <v>12</v>
      </c>
      <c r="M98" s="2" t="s">
        <v>13</v>
      </c>
      <c r="N98" s="2" t="s">
        <v>14</v>
      </c>
      <c r="O98" s="2" t="s">
        <v>15</v>
      </c>
    </row>
    <row r="99">
      <c r="A99" s="4">
        <v>141.0</v>
      </c>
      <c r="B99" s="5" t="s">
        <v>16</v>
      </c>
      <c r="C99" s="4">
        <v>4.6</v>
      </c>
      <c r="D99" s="4">
        <v>2.8</v>
      </c>
      <c r="E99" s="4">
        <v>4.7</v>
      </c>
      <c r="F99" s="4">
        <v>4.2</v>
      </c>
      <c r="G99" s="4">
        <v>5.1</v>
      </c>
      <c r="H99" s="4">
        <v>2.8</v>
      </c>
      <c r="I99" s="4">
        <v>4.5</v>
      </c>
      <c r="J99" s="4">
        <v>3.5</v>
      </c>
      <c r="K99" s="4">
        <v>3.8</v>
      </c>
      <c r="L99" s="4">
        <v>3.5</v>
      </c>
      <c r="M99" s="4">
        <v>2.2</v>
      </c>
      <c r="N99" s="4">
        <v>4.3</v>
      </c>
      <c r="O99" s="4">
        <v>46.1</v>
      </c>
    </row>
    <row r="100">
      <c r="A100" s="6">
        <v>106.0</v>
      </c>
      <c r="B100" s="7" t="s">
        <v>17</v>
      </c>
      <c r="C100" s="6">
        <v>6.8</v>
      </c>
      <c r="D100" s="6">
        <v>5.2</v>
      </c>
      <c r="E100" s="6">
        <v>6.5</v>
      </c>
      <c r="F100" s="6">
        <v>4.5</v>
      </c>
      <c r="G100" s="6">
        <v>7.7</v>
      </c>
      <c r="H100" s="6">
        <v>4.8</v>
      </c>
      <c r="I100" s="6">
        <v>6.7</v>
      </c>
      <c r="J100" s="6">
        <v>6.1</v>
      </c>
      <c r="K100" s="6">
        <v>6.7</v>
      </c>
      <c r="L100" s="6">
        <v>7.6</v>
      </c>
      <c r="M100" s="6">
        <v>2.7</v>
      </c>
      <c r="N100" s="6">
        <v>3.4</v>
      </c>
      <c r="O100" s="6">
        <v>68.7</v>
      </c>
    </row>
    <row r="101">
      <c r="A101" s="4">
        <v>128.0</v>
      </c>
      <c r="B101" s="5" t="s">
        <v>18</v>
      </c>
      <c r="C101" s="4">
        <v>4.4</v>
      </c>
      <c r="D101" s="4">
        <v>4.1</v>
      </c>
      <c r="E101" s="4">
        <v>5.1</v>
      </c>
      <c r="F101" s="4">
        <v>6.2</v>
      </c>
      <c r="G101" s="4">
        <v>3.4</v>
      </c>
      <c r="H101" s="4">
        <v>3.0</v>
      </c>
      <c r="I101" s="4">
        <v>6.4</v>
      </c>
      <c r="J101" s="4">
        <v>3.5</v>
      </c>
      <c r="K101" s="4">
        <v>3.2</v>
      </c>
      <c r="L101" s="4">
        <v>4.2</v>
      </c>
      <c r="M101" s="4">
        <v>6.0</v>
      </c>
      <c r="N101" s="4">
        <v>5.8</v>
      </c>
      <c r="O101" s="4">
        <v>55.3</v>
      </c>
    </row>
    <row r="102">
      <c r="A102" s="6">
        <v>143.0</v>
      </c>
      <c r="B102" s="7" t="s">
        <v>19</v>
      </c>
      <c r="C102" s="6">
        <v>4.8</v>
      </c>
      <c r="D102" s="6">
        <v>4.9</v>
      </c>
      <c r="E102" s="6">
        <v>4.8</v>
      </c>
      <c r="F102" s="6">
        <v>5.1</v>
      </c>
      <c r="G102" s="6">
        <v>2.6</v>
      </c>
      <c r="H102" s="6">
        <v>1.7</v>
      </c>
      <c r="I102" s="6">
        <v>3.7</v>
      </c>
      <c r="J102" s="6">
        <v>3.0</v>
      </c>
      <c r="K102" s="6">
        <v>1.7</v>
      </c>
      <c r="L102" s="6">
        <v>3.8</v>
      </c>
      <c r="M102" s="6">
        <v>5.2</v>
      </c>
      <c r="N102" s="6">
        <v>2.5</v>
      </c>
      <c r="O102" s="6">
        <v>43.8</v>
      </c>
      <c r="P102" s="8"/>
    </row>
    <row r="103">
      <c r="A103" s="4">
        <v>25.0</v>
      </c>
      <c r="B103" s="5" t="s">
        <v>20</v>
      </c>
      <c r="C103" s="4">
        <v>9.3</v>
      </c>
      <c r="D103" s="4">
        <v>9.4</v>
      </c>
      <c r="E103" s="4">
        <v>7.8</v>
      </c>
      <c r="F103" s="4">
        <v>8.0</v>
      </c>
      <c r="G103" s="4">
        <v>5.3</v>
      </c>
      <c r="H103" s="4">
        <v>6.3</v>
      </c>
      <c r="I103" s="4">
        <v>9.8</v>
      </c>
      <c r="J103" s="4">
        <v>6.7</v>
      </c>
      <c r="K103" s="4">
        <v>9.4</v>
      </c>
      <c r="L103" s="4">
        <v>4.6</v>
      </c>
      <c r="M103" s="4">
        <v>8.0</v>
      </c>
      <c r="N103" s="4">
        <v>10.0</v>
      </c>
      <c r="O103" s="4">
        <v>94.6</v>
      </c>
      <c r="P103" s="8"/>
    </row>
    <row r="104">
      <c r="A104" s="6">
        <v>149.0</v>
      </c>
      <c r="B104" s="7" t="s">
        <v>21</v>
      </c>
      <c r="C104" s="6">
        <v>3.1</v>
      </c>
      <c r="D104" s="6">
        <v>7.2</v>
      </c>
      <c r="E104" s="6">
        <v>5.8</v>
      </c>
      <c r="F104" s="6">
        <v>4.9</v>
      </c>
      <c r="G104" s="6">
        <v>3.2</v>
      </c>
      <c r="H104" s="6">
        <v>1.6</v>
      </c>
      <c r="I104" s="6">
        <v>6.8</v>
      </c>
      <c r="J104" s="6">
        <v>1.9</v>
      </c>
      <c r="K104" s="6">
        <v>1.5</v>
      </c>
      <c r="L104" s="6">
        <v>1.7</v>
      </c>
      <c r="M104" s="6">
        <v>1.9</v>
      </c>
      <c r="N104" s="6">
        <v>1.7</v>
      </c>
      <c r="O104" s="6">
        <v>41.4</v>
      </c>
      <c r="P104" s="8"/>
    </row>
    <row r="105">
      <c r="A105" s="4">
        <v>4.0</v>
      </c>
      <c r="B105" s="5" t="s">
        <v>22</v>
      </c>
      <c r="C105" s="4">
        <v>9.9</v>
      </c>
      <c r="D105" s="4">
        <v>9.9</v>
      </c>
      <c r="E105" s="4">
        <v>9.9</v>
      </c>
      <c r="F105" s="4">
        <v>8.5</v>
      </c>
      <c r="G105" s="4">
        <v>7.8</v>
      </c>
      <c r="H105" s="4">
        <v>8.1</v>
      </c>
      <c r="I105" s="4">
        <v>9.9</v>
      </c>
      <c r="J105" s="4">
        <v>9.3</v>
      </c>
      <c r="K105" s="4">
        <v>9.9</v>
      </c>
      <c r="L105" s="4">
        <v>8.2</v>
      </c>
      <c r="M105" s="4">
        <v>10.0</v>
      </c>
      <c r="N105" s="4">
        <v>10.0</v>
      </c>
      <c r="O105" s="4">
        <v>111.4</v>
      </c>
      <c r="P105" s="8"/>
    </row>
    <row r="106">
      <c r="A106" s="6">
        <v>46.0</v>
      </c>
      <c r="B106" s="7" t="s">
        <v>23</v>
      </c>
      <c r="C106" s="6">
        <v>7.4</v>
      </c>
      <c r="D106" s="6">
        <v>8.5</v>
      </c>
      <c r="E106" s="6">
        <v>7.3</v>
      </c>
      <c r="F106" s="6">
        <v>8.3</v>
      </c>
      <c r="G106" s="6">
        <v>6.6</v>
      </c>
      <c r="H106" s="6">
        <v>6.0</v>
      </c>
      <c r="I106" s="6">
        <v>9.0</v>
      </c>
      <c r="J106" s="6">
        <v>7.8</v>
      </c>
      <c r="K106" s="6">
        <v>9.0</v>
      </c>
      <c r="L106" s="6">
        <v>5.7</v>
      </c>
      <c r="M106" s="6">
        <v>5.1</v>
      </c>
      <c r="N106" s="6">
        <v>5.5</v>
      </c>
      <c r="O106" s="6">
        <v>86.2</v>
      </c>
      <c r="P106" s="8"/>
    </row>
    <row r="107">
      <c r="A107" s="4">
        <v>3.0</v>
      </c>
      <c r="B107" s="5" t="s">
        <v>24</v>
      </c>
      <c r="C107" s="4">
        <v>9.9</v>
      </c>
      <c r="D107" s="4">
        <v>10.0</v>
      </c>
      <c r="E107" s="4">
        <v>9.5</v>
      </c>
      <c r="F107" s="4">
        <v>9.6</v>
      </c>
      <c r="G107" s="4">
        <v>8.2</v>
      </c>
      <c r="H107" s="4">
        <v>7.2</v>
      </c>
      <c r="I107" s="4">
        <v>9.7</v>
      </c>
      <c r="J107" s="4">
        <v>9.7</v>
      </c>
      <c r="K107" s="4">
        <v>9.8</v>
      </c>
      <c r="L107" s="4">
        <v>9.6</v>
      </c>
      <c r="M107" s="4">
        <v>9.5</v>
      </c>
      <c r="N107" s="4">
        <v>10.0</v>
      </c>
      <c r="O107" s="4">
        <v>112.7</v>
      </c>
      <c r="P107" s="8"/>
    </row>
    <row r="108">
      <c r="P108" s="8"/>
    </row>
    <row r="109">
      <c r="A109" s="1" t="s">
        <v>33</v>
      </c>
      <c r="P109" s="8"/>
    </row>
    <row r="110">
      <c r="A110" s="2" t="s">
        <v>1</v>
      </c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  <c r="G110" s="2" t="s">
        <v>7</v>
      </c>
      <c r="H110" s="2" t="s">
        <v>8</v>
      </c>
      <c r="I110" s="2" t="s">
        <v>9</v>
      </c>
      <c r="J110" s="2" t="s">
        <v>10</v>
      </c>
      <c r="K110" s="2" t="s">
        <v>11</v>
      </c>
      <c r="L110" s="2" t="s">
        <v>12</v>
      </c>
      <c r="M110" s="2" t="s">
        <v>13</v>
      </c>
      <c r="N110" s="2" t="s">
        <v>14</v>
      </c>
      <c r="O110" s="2" t="s">
        <v>15</v>
      </c>
      <c r="P110" s="8"/>
    </row>
    <row r="111">
      <c r="A111" s="4">
        <v>140.0</v>
      </c>
      <c r="B111" s="5" t="s">
        <v>16</v>
      </c>
      <c r="C111" s="4">
        <v>4.9</v>
      </c>
      <c r="D111" s="4">
        <v>2.8</v>
      </c>
      <c r="E111" s="4">
        <v>4.4</v>
      </c>
      <c r="F111" s="4">
        <v>4.9</v>
      </c>
      <c r="G111" s="4">
        <v>5.2</v>
      </c>
      <c r="H111" s="4">
        <v>3.0</v>
      </c>
      <c r="I111" s="4">
        <v>4.2</v>
      </c>
      <c r="J111" s="4">
        <v>3.3</v>
      </c>
      <c r="K111" s="4">
        <v>3.9</v>
      </c>
      <c r="L111" s="4">
        <v>3.2</v>
      </c>
      <c r="M111" s="4">
        <v>1.9</v>
      </c>
      <c r="N111" s="4">
        <v>4.3</v>
      </c>
      <c r="O111" s="4">
        <v>46.0</v>
      </c>
    </row>
    <row r="112">
      <c r="A112" s="6">
        <v>102.0</v>
      </c>
      <c r="B112" s="7" t="s">
        <v>17</v>
      </c>
      <c r="C112" s="6">
        <v>7.0</v>
      </c>
      <c r="D112" s="6">
        <v>6.2</v>
      </c>
      <c r="E112" s="6">
        <v>7.0</v>
      </c>
      <c r="F112" s="6">
        <v>5.0</v>
      </c>
      <c r="G112" s="6">
        <v>7.4</v>
      </c>
      <c r="H112" s="6">
        <v>4.5</v>
      </c>
      <c r="I112" s="6">
        <v>7.0</v>
      </c>
      <c r="J112" s="6">
        <v>6.6</v>
      </c>
      <c r="K112" s="6">
        <v>6.9</v>
      </c>
      <c r="L112" s="6">
        <v>7.3</v>
      </c>
      <c r="M112" s="6">
        <v>3.3</v>
      </c>
      <c r="N112" s="6">
        <v>3.6</v>
      </c>
      <c r="O112" s="6">
        <v>71.8</v>
      </c>
    </row>
    <row r="113">
      <c r="A113" s="4">
        <v>121.0</v>
      </c>
      <c r="B113" s="5" t="s">
        <v>18</v>
      </c>
      <c r="C113" s="4">
        <v>4.3</v>
      </c>
      <c r="D113" s="4">
        <v>4.1</v>
      </c>
      <c r="E113" s="4">
        <v>4.8</v>
      </c>
      <c r="F113" s="4">
        <v>5.7</v>
      </c>
      <c r="G113" s="4">
        <v>2.9</v>
      </c>
      <c r="H113" s="4">
        <v>3.3</v>
      </c>
      <c r="I113" s="4">
        <v>6.1</v>
      </c>
      <c r="J113" s="4">
        <v>3.8</v>
      </c>
      <c r="K113" s="4">
        <v>3.3</v>
      </c>
      <c r="L113" s="4">
        <v>3.9</v>
      </c>
      <c r="M113" s="4">
        <v>5.7</v>
      </c>
      <c r="N113" s="4">
        <v>6.1</v>
      </c>
      <c r="O113" s="4">
        <v>53.9</v>
      </c>
    </row>
    <row r="114">
      <c r="A114" s="6">
        <v>143.0</v>
      </c>
      <c r="B114" s="7" t="s">
        <v>19</v>
      </c>
      <c r="C114" s="6">
        <v>5.1</v>
      </c>
      <c r="D114" s="6">
        <v>4.9</v>
      </c>
      <c r="E114" s="6">
        <v>4.9</v>
      </c>
      <c r="F114" s="6">
        <v>5.2</v>
      </c>
      <c r="G114" s="6">
        <v>2.3</v>
      </c>
      <c r="H114" s="6">
        <v>2.0</v>
      </c>
      <c r="I114" s="6">
        <v>3.4</v>
      </c>
      <c r="J114" s="6">
        <v>3.0</v>
      </c>
      <c r="K114" s="6">
        <v>1.4</v>
      </c>
      <c r="L114" s="6">
        <v>3.5</v>
      </c>
      <c r="M114" s="6">
        <v>5.3</v>
      </c>
      <c r="N114" s="6">
        <v>2.8</v>
      </c>
      <c r="O114" s="6">
        <v>43.8</v>
      </c>
    </row>
    <row r="115">
      <c r="A115" s="4">
        <v>28.0</v>
      </c>
      <c r="B115" s="5" t="s">
        <v>20</v>
      </c>
      <c r="C115" s="4">
        <v>9.0</v>
      </c>
      <c r="D115" s="4">
        <v>9.7</v>
      </c>
      <c r="E115" s="4">
        <v>7.5</v>
      </c>
      <c r="F115" s="4">
        <v>7.7</v>
      </c>
      <c r="G115" s="4">
        <v>5.3</v>
      </c>
      <c r="H115" s="4">
        <v>6.0</v>
      </c>
      <c r="I115" s="4">
        <v>9.7</v>
      </c>
      <c r="J115" s="4">
        <v>6.4</v>
      </c>
      <c r="K115" s="4">
        <v>9.1</v>
      </c>
      <c r="L115" s="4">
        <v>4.3</v>
      </c>
      <c r="M115" s="4">
        <v>7.7</v>
      </c>
      <c r="N115" s="4">
        <v>9.7</v>
      </c>
      <c r="O115" s="4">
        <v>92.2</v>
      </c>
    </row>
    <row r="116">
      <c r="A116" s="6">
        <v>147.0</v>
      </c>
      <c r="B116" s="7" t="s">
        <v>21</v>
      </c>
      <c r="C116" s="6">
        <v>3.4</v>
      </c>
      <c r="D116" s="6">
        <v>6.9</v>
      </c>
      <c r="E116" s="6">
        <v>6.1</v>
      </c>
      <c r="F116" s="6">
        <v>4.6</v>
      </c>
      <c r="G116" s="6">
        <v>2.9</v>
      </c>
      <c r="H116" s="6">
        <v>1.3</v>
      </c>
      <c r="I116" s="6">
        <v>6.9</v>
      </c>
      <c r="J116" s="6">
        <v>1.9</v>
      </c>
      <c r="K116" s="6">
        <v>1.2</v>
      </c>
      <c r="L116" s="6">
        <v>1.4</v>
      </c>
      <c r="M116" s="6">
        <v>2.0</v>
      </c>
      <c r="N116" s="6">
        <v>2.0</v>
      </c>
      <c r="O116" s="6">
        <v>40.7</v>
      </c>
    </row>
    <row r="117">
      <c r="A117" s="4">
        <v>5.0</v>
      </c>
      <c r="B117" s="5" t="s">
        <v>22</v>
      </c>
      <c r="C117" s="4">
        <v>9.8</v>
      </c>
      <c r="D117" s="4">
        <v>9.9</v>
      </c>
      <c r="E117" s="4">
        <v>10.0</v>
      </c>
      <c r="F117" s="4">
        <v>8.8</v>
      </c>
      <c r="G117" s="4">
        <v>7.5</v>
      </c>
      <c r="H117" s="4">
        <v>8.4</v>
      </c>
      <c r="I117" s="4">
        <v>9.9</v>
      </c>
      <c r="J117" s="4">
        <v>9.4</v>
      </c>
      <c r="K117" s="4">
        <v>10.0</v>
      </c>
      <c r="L117" s="4">
        <v>7.9</v>
      </c>
      <c r="M117" s="4">
        <v>10.0</v>
      </c>
      <c r="N117" s="4">
        <v>10.0</v>
      </c>
      <c r="O117" s="4">
        <v>111.5</v>
      </c>
    </row>
    <row r="118">
      <c r="A118" s="6">
        <v>32.0</v>
      </c>
      <c r="B118" s="7" t="s">
        <v>23</v>
      </c>
      <c r="C118" s="6">
        <v>7.4</v>
      </c>
      <c r="D118" s="6">
        <v>8.8</v>
      </c>
      <c r="E118" s="6">
        <v>7.6</v>
      </c>
      <c r="F118" s="6">
        <v>8.6</v>
      </c>
      <c r="G118" s="6">
        <v>6.9</v>
      </c>
      <c r="H118" s="6">
        <v>6.1</v>
      </c>
      <c r="I118" s="6">
        <v>9.3</v>
      </c>
      <c r="J118" s="6">
        <v>8.3</v>
      </c>
      <c r="K118" s="6">
        <v>9.0</v>
      </c>
      <c r="L118" s="6">
        <v>6.2</v>
      </c>
      <c r="M118" s="6">
        <v>5.6</v>
      </c>
      <c r="N118" s="6">
        <v>5.5</v>
      </c>
      <c r="O118" s="6">
        <v>89.3</v>
      </c>
    </row>
    <row r="119">
      <c r="A119" s="4">
        <v>1.0</v>
      </c>
      <c r="B119" s="5" t="s">
        <v>24</v>
      </c>
      <c r="C119" s="4">
        <v>10.0</v>
      </c>
      <c r="D119" s="4">
        <v>10.0</v>
      </c>
      <c r="E119" s="4">
        <v>9.6</v>
      </c>
      <c r="F119" s="4">
        <v>9.7</v>
      </c>
      <c r="G119" s="4">
        <v>8.1</v>
      </c>
      <c r="H119" s="4">
        <v>7.3</v>
      </c>
      <c r="I119" s="4">
        <v>9.8</v>
      </c>
      <c r="J119" s="4">
        <v>9.8</v>
      </c>
      <c r="K119" s="4">
        <v>9.9</v>
      </c>
      <c r="L119" s="4">
        <v>9.7</v>
      </c>
      <c r="M119" s="4">
        <v>9.6</v>
      </c>
      <c r="N119" s="4">
        <v>10.0</v>
      </c>
      <c r="O119" s="4">
        <v>113.5</v>
      </c>
    </row>
  </sheetData>
  <mergeCells count="10">
    <mergeCell ref="A85:O85"/>
    <mergeCell ref="A97:O97"/>
    <mergeCell ref="A109:O109"/>
    <mergeCell ref="A1:O1"/>
    <mergeCell ref="A13:O13"/>
    <mergeCell ref="A25:O25"/>
    <mergeCell ref="A37:O37"/>
    <mergeCell ref="A49:O49"/>
    <mergeCell ref="A61:O61"/>
    <mergeCell ref="A73:O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F1" s="1" t="s">
        <v>35</v>
      </c>
    </row>
    <row r="2">
      <c r="A2" s="9" t="s">
        <v>1</v>
      </c>
      <c r="B2" s="9" t="s">
        <v>2</v>
      </c>
      <c r="C2" s="9" t="s">
        <v>36</v>
      </c>
      <c r="D2" s="9" t="s">
        <v>37</v>
      </c>
      <c r="F2" s="9" t="s">
        <v>1</v>
      </c>
      <c r="G2" s="9" t="s">
        <v>2</v>
      </c>
      <c r="H2" s="9" t="s">
        <v>36</v>
      </c>
      <c r="I2" s="9" t="s">
        <v>37</v>
      </c>
    </row>
    <row r="3">
      <c r="A3" s="10">
        <v>15.0</v>
      </c>
      <c r="B3" s="7" t="s">
        <v>24</v>
      </c>
      <c r="C3" s="11">
        <v>100.0</v>
      </c>
      <c r="D3" s="12" t="s">
        <v>38</v>
      </c>
      <c r="F3" s="4">
        <v>7.0</v>
      </c>
      <c r="G3" s="5" t="s">
        <v>24</v>
      </c>
      <c r="H3" s="10">
        <v>108.1</v>
      </c>
      <c r="I3" s="13" t="s">
        <v>39</v>
      </c>
    </row>
    <row r="4">
      <c r="A4" s="10">
        <v>48.0</v>
      </c>
      <c r="B4" s="5" t="s">
        <v>22</v>
      </c>
      <c r="C4" s="11">
        <v>87.9</v>
      </c>
      <c r="D4" s="14" t="s">
        <v>40</v>
      </c>
      <c r="F4" s="6">
        <f>8</f>
        <v>8</v>
      </c>
      <c r="G4" s="5" t="s">
        <v>22</v>
      </c>
      <c r="H4" s="10">
        <v>107.9</v>
      </c>
      <c r="I4" s="13" t="s">
        <v>39</v>
      </c>
    </row>
    <row r="5">
      <c r="A5" s="10">
        <v>111.0</v>
      </c>
      <c r="B5" s="7" t="s">
        <v>20</v>
      </c>
      <c r="C5" s="10">
        <v>69.1</v>
      </c>
      <c r="D5" s="15" t="s">
        <v>41</v>
      </c>
      <c r="F5" s="4">
        <v>25.0</v>
      </c>
      <c r="G5" s="7" t="s">
        <v>20</v>
      </c>
      <c r="H5" s="10">
        <v>95.3</v>
      </c>
      <c r="I5" s="12" t="s">
        <v>38</v>
      </c>
    </row>
    <row r="6">
      <c r="A6" s="10">
        <v>82.0</v>
      </c>
      <c r="B6" s="5" t="s">
        <v>23</v>
      </c>
      <c r="C6" s="10">
        <v>87.9</v>
      </c>
      <c r="D6" s="15" t="s">
        <v>41</v>
      </c>
      <c r="F6" s="6">
        <v>75.0</v>
      </c>
      <c r="G6" s="5" t="s">
        <v>23</v>
      </c>
      <c r="H6" s="10">
        <v>78.6</v>
      </c>
      <c r="I6" s="15" t="s">
        <v>41</v>
      </c>
      <c r="K6" s="1"/>
    </row>
    <row r="7">
      <c r="A7" s="10">
        <v>119.0</v>
      </c>
      <c r="B7" s="7" t="s">
        <v>17</v>
      </c>
      <c r="C7" s="11">
        <v>67.4</v>
      </c>
      <c r="D7" s="15" t="s">
        <v>41</v>
      </c>
      <c r="F7" s="4">
        <v>123.0</v>
      </c>
      <c r="G7" s="7" t="s">
        <v>17</v>
      </c>
      <c r="H7" s="10">
        <v>62.6</v>
      </c>
      <c r="I7" s="15" t="s">
        <v>42</v>
      </c>
      <c r="K7" s="16"/>
      <c r="L7" s="16"/>
      <c r="M7" s="16"/>
      <c r="N7" s="16"/>
    </row>
    <row r="8">
      <c r="A8" s="10">
        <v>147.0</v>
      </c>
      <c r="B8" s="5" t="s">
        <v>18</v>
      </c>
      <c r="C8" s="11">
        <v>45.9</v>
      </c>
      <c r="D8" s="17" t="s">
        <v>43</v>
      </c>
      <c r="F8" s="6">
        <v>134.0</v>
      </c>
      <c r="G8" s="5" t="s">
        <v>18</v>
      </c>
      <c r="H8" s="10">
        <v>52.6</v>
      </c>
      <c r="I8" s="17" t="s">
        <v>43</v>
      </c>
      <c r="K8" s="4"/>
      <c r="L8" s="5"/>
      <c r="M8" s="10"/>
      <c r="N8" s="18"/>
    </row>
    <row r="9">
      <c r="A9" s="10">
        <v>148.0</v>
      </c>
      <c r="B9" s="7" t="s">
        <v>16</v>
      </c>
      <c r="C9" s="11">
        <v>45.8</v>
      </c>
      <c r="D9" s="17" t="s">
        <v>43</v>
      </c>
      <c r="F9" s="4">
        <v>141.0</v>
      </c>
      <c r="G9" s="7" t="s">
        <v>16</v>
      </c>
      <c r="H9" s="10">
        <v>47.6</v>
      </c>
      <c r="I9" s="17" t="s">
        <v>43</v>
      </c>
      <c r="K9" s="4"/>
      <c r="L9" s="5"/>
      <c r="M9" s="10"/>
      <c r="N9" s="18"/>
    </row>
    <row r="10">
      <c r="A10" s="10">
        <v>149.0</v>
      </c>
      <c r="B10" s="5" t="s">
        <v>19</v>
      </c>
      <c r="C10" s="11">
        <v>45.7</v>
      </c>
      <c r="D10" s="17" t="s">
        <v>43</v>
      </c>
      <c r="F10" s="6">
        <v>147.0</v>
      </c>
      <c r="G10" s="5" t="s">
        <v>19</v>
      </c>
      <c r="H10" s="10">
        <v>43.2</v>
      </c>
      <c r="I10" s="19" t="s">
        <v>44</v>
      </c>
      <c r="K10" s="4"/>
      <c r="L10" s="5"/>
      <c r="M10" s="10"/>
      <c r="N10" s="18"/>
    </row>
    <row r="11">
      <c r="A11" s="10">
        <v>151.0</v>
      </c>
      <c r="B11" s="7" t="s">
        <v>21</v>
      </c>
      <c r="C11" s="11">
        <v>43.5</v>
      </c>
      <c r="D11" s="17" t="s">
        <v>43</v>
      </c>
      <c r="F11" s="4">
        <v>151.0</v>
      </c>
      <c r="G11" s="7" t="s">
        <v>21</v>
      </c>
      <c r="H11" s="10">
        <v>40.9</v>
      </c>
      <c r="I11" s="19" t="s">
        <v>44</v>
      </c>
      <c r="K11" s="4"/>
      <c r="L11" s="5"/>
      <c r="M11" s="10"/>
      <c r="N11" s="20"/>
    </row>
    <row r="12">
      <c r="F12" s="4"/>
      <c r="G12" s="5"/>
      <c r="H12" s="21"/>
      <c r="K12" s="4"/>
      <c r="L12" s="5"/>
      <c r="M12" s="10"/>
      <c r="N12" s="20"/>
    </row>
    <row r="13">
      <c r="A13" s="1" t="s">
        <v>45</v>
      </c>
      <c r="F13" s="1" t="s">
        <v>46</v>
      </c>
      <c r="K13" s="4"/>
      <c r="L13" s="5"/>
      <c r="M13" s="10"/>
      <c r="N13" s="20"/>
    </row>
    <row r="14">
      <c r="A14" s="9" t="s">
        <v>1</v>
      </c>
      <c r="B14" s="9" t="s">
        <v>2</v>
      </c>
      <c r="C14" s="9" t="s">
        <v>36</v>
      </c>
      <c r="D14" s="9" t="s">
        <v>37</v>
      </c>
      <c r="F14" s="9" t="s">
        <v>1</v>
      </c>
      <c r="G14" s="9" t="s">
        <v>2</v>
      </c>
      <c r="H14" s="9" t="s">
        <v>36</v>
      </c>
      <c r="I14" s="9" t="s">
        <v>37</v>
      </c>
      <c r="K14" s="4"/>
      <c r="L14" s="5"/>
      <c r="M14" s="10"/>
      <c r="N14" s="20"/>
    </row>
    <row r="15">
      <c r="A15" s="4">
        <v>13.0</v>
      </c>
      <c r="B15" s="5" t="s">
        <v>24</v>
      </c>
      <c r="C15" s="10">
        <v>100.3</v>
      </c>
      <c r="D15" s="12" t="s">
        <v>38</v>
      </c>
      <c r="F15" s="4">
        <v>4.0</v>
      </c>
      <c r="G15" s="5" t="s">
        <v>24</v>
      </c>
      <c r="H15" s="21">
        <v>111.5</v>
      </c>
      <c r="I15" s="13" t="s">
        <v>39</v>
      </c>
      <c r="K15" s="4"/>
      <c r="L15" s="5"/>
      <c r="M15" s="10"/>
      <c r="N15" s="18"/>
    </row>
    <row r="16">
      <c r="A16" s="6">
        <v>48.0</v>
      </c>
      <c r="B16" s="5" t="s">
        <v>22</v>
      </c>
      <c r="C16" s="10">
        <v>85.9</v>
      </c>
      <c r="D16" s="12" t="s">
        <v>38</v>
      </c>
      <c r="F16" s="4">
        <v>6.0</v>
      </c>
      <c r="G16" s="5" t="s">
        <v>22</v>
      </c>
      <c r="H16" s="21">
        <v>110.8</v>
      </c>
      <c r="I16" s="13" t="s">
        <v>39</v>
      </c>
      <c r="K16" s="4"/>
      <c r="L16" s="5"/>
      <c r="M16" s="10"/>
      <c r="N16" s="18"/>
    </row>
    <row r="17">
      <c r="A17" s="4">
        <v>80.0</v>
      </c>
      <c r="B17" s="7" t="s">
        <v>20</v>
      </c>
      <c r="C17" s="10">
        <v>68.7</v>
      </c>
      <c r="D17" s="15" t="s">
        <v>41</v>
      </c>
      <c r="F17" s="6">
        <v>25.0</v>
      </c>
      <c r="G17" s="7" t="s">
        <v>20</v>
      </c>
      <c r="H17" s="22">
        <v>96.4</v>
      </c>
      <c r="I17" s="12" t="s">
        <v>38</v>
      </c>
    </row>
    <row r="18">
      <c r="A18" s="6">
        <v>111.0</v>
      </c>
      <c r="B18" s="5" t="s">
        <v>23</v>
      </c>
      <c r="C18" s="11">
        <v>78.2</v>
      </c>
      <c r="D18" s="15" t="s">
        <v>41</v>
      </c>
      <c r="F18" s="4">
        <v>63.0</v>
      </c>
      <c r="G18" s="5" t="s">
        <v>23</v>
      </c>
      <c r="H18" s="21">
        <v>81.6</v>
      </c>
      <c r="I18" s="12" t="s">
        <v>38</v>
      </c>
    </row>
    <row r="19">
      <c r="A19" s="4">
        <v>123.0</v>
      </c>
      <c r="B19" s="7" t="s">
        <v>17</v>
      </c>
      <c r="C19" s="10">
        <v>65.1</v>
      </c>
      <c r="D19" s="15" t="s">
        <v>41</v>
      </c>
      <c r="F19" s="6">
        <v>119.0</v>
      </c>
      <c r="G19" s="7" t="s">
        <v>17</v>
      </c>
      <c r="H19" s="22">
        <v>65.3</v>
      </c>
      <c r="I19" s="15" t="s">
        <v>41</v>
      </c>
    </row>
    <row r="20">
      <c r="A20" s="6">
        <v>143.0</v>
      </c>
      <c r="B20" s="5" t="s">
        <v>18</v>
      </c>
      <c r="C20" s="10">
        <v>47.4</v>
      </c>
      <c r="D20" s="17" t="s">
        <v>43</v>
      </c>
      <c r="F20" s="4">
        <v>130.0</v>
      </c>
      <c r="G20" s="5" t="s">
        <v>18</v>
      </c>
      <c r="H20" s="21">
        <v>55.9</v>
      </c>
      <c r="I20" s="15" t="s">
        <v>41</v>
      </c>
    </row>
    <row r="21">
      <c r="A21" s="4">
        <v>145.0</v>
      </c>
      <c r="B21" s="7" t="s">
        <v>16</v>
      </c>
      <c r="C21" s="10">
        <v>46.8</v>
      </c>
      <c r="D21" s="17" t="s">
        <v>43</v>
      </c>
      <c r="F21" s="6">
        <v>140.0</v>
      </c>
      <c r="G21" s="7" t="s">
        <v>16</v>
      </c>
      <c r="H21" s="22">
        <v>48.4</v>
      </c>
      <c r="I21" s="17" t="s">
        <v>43</v>
      </c>
    </row>
    <row r="22">
      <c r="A22" s="6">
        <v>147.0</v>
      </c>
      <c r="B22" s="5" t="s">
        <v>19</v>
      </c>
      <c r="C22" s="10">
        <v>45.8</v>
      </c>
      <c r="D22" s="17" t="s">
        <v>43</v>
      </c>
      <c r="F22" s="4">
        <v>148.0</v>
      </c>
      <c r="G22" s="5" t="s">
        <v>19</v>
      </c>
      <c r="H22" s="21">
        <v>43.1</v>
      </c>
      <c r="I22" s="17" t="s">
        <v>43</v>
      </c>
    </row>
    <row r="23">
      <c r="A23" s="4">
        <v>151.0</v>
      </c>
      <c r="B23" s="7" t="s">
        <v>21</v>
      </c>
      <c r="C23" s="10">
        <v>43.1</v>
      </c>
      <c r="D23" s="17" t="s">
        <v>43</v>
      </c>
      <c r="F23" s="6">
        <v>153.0</v>
      </c>
      <c r="G23" s="7" t="s">
        <v>21</v>
      </c>
      <c r="H23" s="22">
        <v>39.8</v>
      </c>
      <c r="I23" s="17" t="s">
        <v>43</v>
      </c>
    </row>
    <row r="25">
      <c r="A25" s="1" t="s">
        <v>47</v>
      </c>
      <c r="F25" s="1" t="s">
        <v>48</v>
      </c>
    </row>
    <row r="26">
      <c r="A26" s="9" t="s">
        <v>1</v>
      </c>
      <c r="B26" s="9" t="s">
        <v>2</v>
      </c>
      <c r="C26" s="9" t="s">
        <v>36</v>
      </c>
      <c r="D26" s="9" t="s">
        <v>37</v>
      </c>
      <c r="F26" s="9" t="s">
        <v>1</v>
      </c>
      <c r="G26" s="9" t="s">
        <v>2</v>
      </c>
      <c r="H26" s="9" t="s">
        <v>36</v>
      </c>
      <c r="I26" s="9" t="s">
        <v>37</v>
      </c>
    </row>
    <row r="27">
      <c r="A27" s="4">
        <v>8.0</v>
      </c>
      <c r="B27" s="5" t="s">
        <v>24</v>
      </c>
      <c r="C27" s="10">
        <v>104.8</v>
      </c>
      <c r="D27" s="13" t="s">
        <v>49</v>
      </c>
      <c r="F27" s="4">
        <v>4.0</v>
      </c>
      <c r="G27" s="5" t="s">
        <v>24</v>
      </c>
      <c r="H27" s="21">
        <v>111.1</v>
      </c>
      <c r="I27" s="13" t="s">
        <v>39</v>
      </c>
    </row>
    <row r="28">
      <c r="A28" s="6">
        <v>23.0</v>
      </c>
      <c r="B28" s="5" t="s">
        <v>22</v>
      </c>
      <c r="C28" s="10">
        <v>94.5</v>
      </c>
      <c r="D28" s="12" t="s">
        <v>38</v>
      </c>
      <c r="F28" s="6">
        <v>5.0</v>
      </c>
      <c r="G28" s="7" t="s">
        <v>22</v>
      </c>
      <c r="H28" s="22">
        <v>110.6</v>
      </c>
      <c r="I28" s="13" t="s">
        <v>39</v>
      </c>
    </row>
    <row r="29">
      <c r="A29" s="4">
        <v>50.0</v>
      </c>
      <c r="B29" s="7" t="s">
        <v>20</v>
      </c>
      <c r="C29" s="10">
        <v>84.9</v>
      </c>
      <c r="D29" s="12" t="s">
        <v>38</v>
      </c>
      <c r="F29" s="4">
        <v>23.0</v>
      </c>
      <c r="G29" s="5" t="s">
        <v>20</v>
      </c>
      <c r="H29" s="21">
        <v>96.3</v>
      </c>
      <c r="I29" s="12" t="s">
        <v>38</v>
      </c>
    </row>
    <row r="30">
      <c r="A30" s="6">
        <v>82.0</v>
      </c>
      <c r="B30" s="5" t="s">
        <v>23</v>
      </c>
      <c r="C30" s="10">
        <v>77.3</v>
      </c>
      <c r="D30" s="15" t="s">
        <v>41</v>
      </c>
      <c r="F30" s="6">
        <v>58.0</v>
      </c>
      <c r="G30" s="7" t="s">
        <v>23</v>
      </c>
      <c r="H30" s="22">
        <v>82.9</v>
      </c>
      <c r="I30" s="15" t="s">
        <v>41</v>
      </c>
    </row>
    <row r="31">
      <c r="A31" s="4">
        <v>123.0</v>
      </c>
      <c r="B31" s="7" t="s">
        <v>17</v>
      </c>
      <c r="C31" s="10">
        <v>64.1</v>
      </c>
      <c r="D31" s="15" t="s">
        <v>41</v>
      </c>
      <c r="F31" s="4">
        <v>110.0</v>
      </c>
      <c r="G31" s="5" t="s">
        <v>17</v>
      </c>
      <c r="H31" s="21">
        <v>68.2</v>
      </c>
      <c r="I31" s="15" t="s">
        <v>41</v>
      </c>
    </row>
    <row r="32">
      <c r="A32" s="6">
        <v>138.0</v>
      </c>
      <c r="B32" s="5" t="s">
        <v>18</v>
      </c>
      <c r="C32" s="10">
        <v>50.4</v>
      </c>
      <c r="D32" s="17" t="s">
        <v>43</v>
      </c>
      <c r="F32" s="6">
        <v>127.0</v>
      </c>
      <c r="G32" s="7" t="s">
        <v>18</v>
      </c>
      <c r="H32" s="22">
        <v>57.5</v>
      </c>
      <c r="I32" s="17" t="s">
        <v>43</v>
      </c>
    </row>
    <row r="33">
      <c r="A33" s="4">
        <v>145.0</v>
      </c>
      <c r="B33" s="7" t="s">
        <v>16</v>
      </c>
      <c r="C33" s="10">
        <v>46.5</v>
      </c>
      <c r="D33" s="17" t="s">
        <v>43</v>
      </c>
      <c r="F33" s="4">
        <v>140.0</v>
      </c>
      <c r="G33" s="5" t="s">
        <v>16</v>
      </c>
      <c r="H33" s="21">
        <v>48.2</v>
      </c>
      <c r="I33" s="19" t="s">
        <v>44</v>
      </c>
    </row>
    <row r="34">
      <c r="A34" s="6">
        <v>146.0</v>
      </c>
      <c r="B34" s="5" t="s">
        <v>19</v>
      </c>
      <c r="C34" s="10">
        <v>45.8</v>
      </c>
      <c r="D34" s="17" t="s">
        <v>43</v>
      </c>
      <c r="F34" s="6">
        <v>142.0</v>
      </c>
      <c r="G34" s="7" t="s">
        <v>19</v>
      </c>
      <c r="H34" s="22">
        <v>45.2</v>
      </c>
      <c r="I34" s="19" t="s">
        <v>44</v>
      </c>
    </row>
    <row r="35">
      <c r="A35" s="4">
        <v>153.0</v>
      </c>
      <c r="B35" s="7" t="s">
        <v>21</v>
      </c>
      <c r="C35" s="10">
        <v>42.8</v>
      </c>
      <c r="D35" s="17" t="s">
        <v>43</v>
      </c>
      <c r="F35" s="4">
        <v>155.0</v>
      </c>
      <c r="G35" s="5" t="s">
        <v>21</v>
      </c>
      <c r="H35" s="21">
        <v>37.9</v>
      </c>
      <c r="I35" s="19" t="s">
        <v>44</v>
      </c>
    </row>
    <row r="37">
      <c r="A37" s="1" t="s">
        <v>50</v>
      </c>
      <c r="F37" s="1" t="s">
        <v>51</v>
      </c>
    </row>
    <row r="38">
      <c r="A38" s="9" t="s">
        <v>1</v>
      </c>
      <c r="B38" s="9" t="s">
        <v>2</v>
      </c>
      <c r="C38" s="9" t="s">
        <v>36</v>
      </c>
      <c r="D38" s="9" t="s">
        <v>37</v>
      </c>
      <c r="F38" s="9" t="s">
        <v>1</v>
      </c>
      <c r="G38" s="9" t="s">
        <v>2</v>
      </c>
      <c r="H38" s="9" t="s">
        <v>36</v>
      </c>
      <c r="I38" s="9" t="s">
        <v>37</v>
      </c>
    </row>
    <row r="39">
      <c r="A39" s="4">
        <v>6.0</v>
      </c>
      <c r="B39" s="5" t="s">
        <v>24</v>
      </c>
      <c r="C39" s="10">
        <v>107.0</v>
      </c>
      <c r="D39" s="13" t="s">
        <v>39</v>
      </c>
      <c r="F39" s="4">
        <v>3.0</v>
      </c>
      <c r="G39" s="5" t="s">
        <v>24</v>
      </c>
      <c r="H39" s="21">
        <v>112.7</v>
      </c>
      <c r="I39" s="13" t="s">
        <v>39</v>
      </c>
    </row>
    <row r="40">
      <c r="A40" s="6">
        <v>21.0</v>
      </c>
      <c r="B40" s="5" t="s">
        <v>22</v>
      </c>
      <c r="C40" s="10">
        <v>97.4</v>
      </c>
      <c r="D40" s="12" t="s">
        <v>38</v>
      </c>
      <c r="F40" s="6">
        <v>4.0</v>
      </c>
      <c r="G40" s="7" t="s">
        <v>22</v>
      </c>
      <c r="H40" s="22">
        <v>111.4</v>
      </c>
      <c r="I40" s="13" t="s">
        <v>39</v>
      </c>
    </row>
    <row r="41">
      <c r="A41" s="4">
        <v>54.0</v>
      </c>
      <c r="B41" s="7" t="s">
        <v>20</v>
      </c>
      <c r="C41" s="10">
        <v>84.5</v>
      </c>
      <c r="D41" s="15" t="s">
        <v>41</v>
      </c>
      <c r="F41" s="4">
        <v>25.0</v>
      </c>
      <c r="G41" s="5" t="s">
        <v>20</v>
      </c>
      <c r="H41" s="21">
        <v>94.6</v>
      </c>
      <c r="I41" s="12" t="s">
        <v>38</v>
      </c>
    </row>
    <row r="42">
      <c r="A42" s="6">
        <v>89.0</v>
      </c>
      <c r="B42" s="5" t="s">
        <v>23</v>
      </c>
      <c r="C42" s="10">
        <v>75.3</v>
      </c>
      <c r="D42" s="15" t="s">
        <v>41</v>
      </c>
      <c r="F42" s="6">
        <v>46.0</v>
      </c>
      <c r="G42" s="7" t="s">
        <v>23</v>
      </c>
      <c r="H42" s="22">
        <v>86.2</v>
      </c>
      <c r="I42" s="14" t="s">
        <v>40</v>
      </c>
    </row>
    <row r="43">
      <c r="A43" s="4">
        <v>126.0</v>
      </c>
      <c r="B43" s="7" t="s">
        <v>17</v>
      </c>
      <c r="C43" s="10">
        <v>62.1</v>
      </c>
      <c r="D43" s="15" t="s">
        <v>41</v>
      </c>
      <c r="F43" s="4">
        <v>106.0</v>
      </c>
      <c r="G43" s="5" t="s">
        <v>17</v>
      </c>
      <c r="H43" s="21">
        <v>68.7</v>
      </c>
      <c r="I43" s="15" t="s">
        <v>41</v>
      </c>
      <c r="J43" s="10"/>
    </row>
    <row r="44">
      <c r="A44" s="6">
        <v>138.0</v>
      </c>
      <c r="B44" s="5" t="s">
        <v>18</v>
      </c>
      <c r="C44" s="10">
        <v>50.6</v>
      </c>
      <c r="D44" s="17" t="s">
        <v>43</v>
      </c>
      <c r="F44" s="6">
        <v>128.0</v>
      </c>
      <c r="G44" s="7" t="s">
        <v>18</v>
      </c>
      <c r="H44" s="22">
        <v>55.3</v>
      </c>
      <c r="I44" s="17" t="s">
        <v>43</v>
      </c>
    </row>
    <row r="45">
      <c r="A45" s="4">
        <v>144.0</v>
      </c>
      <c r="B45" s="7" t="s">
        <v>16</v>
      </c>
      <c r="C45" s="10">
        <v>46.1</v>
      </c>
      <c r="D45" s="17" t="s">
        <v>43</v>
      </c>
      <c r="F45" s="4">
        <v>141.0</v>
      </c>
      <c r="G45" s="5" t="s">
        <v>16</v>
      </c>
      <c r="H45" s="21">
        <v>46.1</v>
      </c>
      <c r="I45" s="19" t="s">
        <v>44</v>
      </c>
    </row>
    <row r="46">
      <c r="A46" s="6">
        <v>147.0</v>
      </c>
      <c r="B46" s="5" t="s">
        <v>19</v>
      </c>
      <c r="C46" s="10">
        <v>44.6</v>
      </c>
      <c r="D46" s="17" t="s">
        <v>43</v>
      </c>
      <c r="F46" s="6">
        <v>143.0</v>
      </c>
      <c r="G46" s="7" t="s">
        <v>19</v>
      </c>
      <c r="H46" s="22">
        <v>43.8</v>
      </c>
      <c r="I46" s="19" t="s">
        <v>44</v>
      </c>
    </row>
    <row r="47">
      <c r="A47" s="4">
        <v>149.0</v>
      </c>
      <c r="B47" s="7" t="s">
        <v>21</v>
      </c>
      <c r="C47" s="10">
        <v>44.4</v>
      </c>
      <c r="D47" s="17" t="s">
        <v>43</v>
      </c>
      <c r="F47" s="4">
        <v>149.0</v>
      </c>
      <c r="G47" s="5" t="s">
        <v>21</v>
      </c>
      <c r="H47" s="21">
        <v>41.4</v>
      </c>
      <c r="I47" s="19" t="s">
        <v>44</v>
      </c>
    </row>
    <row r="49">
      <c r="A49" s="1" t="s">
        <v>52</v>
      </c>
      <c r="F49" s="1" t="s">
        <v>53</v>
      </c>
    </row>
    <row r="50">
      <c r="A50" s="9" t="s">
        <v>1</v>
      </c>
      <c r="B50" s="9" t="s">
        <v>2</v>
      </c>
      <c r="C50" s="9" t="s">
        <v>36</v>
      </c>
      <c r="D50" s="9" t="s">
        <v>37</v>
      </c>
      <c r="F50" s="9" t="s">
        <v>1</v>
      </c>
      <c r="G50" s="9" t="s">
        <v>2</v>
      </c>
      <c r="H50" s="9" t="s">
        <v>36</v>
      </c>
      <c r="I50" s="9" t="s">
        <v>37</v>
      </c>
    </row>
    <row r="51">
      <c r="A51" s="4">
        <v>8.0</v>
      </c>
      <c r="B51" s="5" t="s">
        <v>24</v>
      </c>
      <c r="C51" s="10">
        <v>105.4</v>
      </c>
      <c r="D51" s="13" t="s">
        <v>39</v>
      </c>
      <c r="F51" s="4">
        <v>1.0</v>
      </c>
      <c r="G51" s="7" t="s">
        <v>24</v>
      </c>
      <c r="H51" s="11">
        <v>113.5</v>
      </c>
      <c r="I51" s="13" t="s">
        <v>49</v>
      </c>
    </row>
    <row r="52">
      <c r="A52" s="6">
        <v>15.0</v>
      </c>
      <c r="B52" s="5" t="s">
        <v>22</v>
      </c>
      <c r="C52" s="10">
        <v>101.6</v>
      </c>
      <c r="D52" s="13" t="s">
        <v>39</v>
      </c>
      <c r="F52" s="6">
        <v>5.0</v>
      </c>
      <c r="G52" s="5" t="s">
        <v>22</v>
      </c>
      <c r="H52" s="11">
        <v>111.5</v>
      </c>
      <c r="I52" s="13" t="s">
        <v>49</v>
      </c>
    </row>
    <row r="53">
      <c r="A53" s="4">
        <v>41.0</v>
      </c>
      <c r="B53" s="7" t="s">
        <v>20</v>
      </c>
      <c r="C53" s="10">
        <v>87.8</v>
      </c>
      <c r="D53" s="12" t="s">
        <v>38</v>
      </c>
      <c r="F53" s="4">
        <v>28.0</v>
      </c>
      <c r="G53" s="7" t="s">
        <v>20</v>
      </c>
      <c r="H53" s="11">
        <v>92.2</v>
      </c>
      <c r="I53" s="12" t="s">
        <v>38</v>
      </c>
    </row>
    <row r="54">
      <c r="A54" s="6">
        <v>83.0</v>
      </c>
      <c r="B54" s="5" t="s">
        <v>23</v>
      </c>
      <c r="C54" s="10">
        <v>76.7</v>
      </c>
      <c r="D54" s="12" t="s">
        <v>49</v>
      </c>
      <c r="F54" s="6">
        <v>32.0</v>
      </c>
      <c r="G54" s="5" t="s">
        <v>23</v>
      </c>
      <c r="H54" s="11">
        <v>89.3</v>
      </c>
      <c r="I54" s="12" t="s">
        <v>38</v>
      </c>
    </row>
    <row r="55">
      <c r="A55" s="4">
        <v>125.0</v>
      </c>
      <c r="B55" s="7" t="s">
        <v>17</v>
      </c>
      <c r="C55" s="10">
        <v>61.4</v>
      </c>
      <c r="D55" s="15" t="s">
        <v>41</v>
      </c>
      <c r="F55" s="4">
        <v>102.0</v>
      </c>
      <c r="G55" s="7" t="s">
        <v>17</v>
      </c>
      <c r="H55" s="11">
        <v>71.8</v>
      </c>
      <c r="I55" s="14" t="s">
        <v>40</v>
      </c>
    </row>
    <row r="56">
      <c r="A56" s="6">
        <v>137.0</v>
      </c>
      <c r="B56" s="5" t="s">
        <v>18</v>
      </c>
      <c r="C56" s="10">
        <v>52.1</v>
      </c>
      <c r="D56" s="17" t="s">
        <v>43</v>
      </c>
      <c r="F56" s="6">
        <v>121.0</v>
      </c>
      <c r="G56" s="5" t="s">
        <v>18</v>
      </c>
      <c r="H56" s="11">
        <v>53.9</v>
      </c>
      <c r="I56" s="17" t="s">
        <v>43</v>
      </c>
    </row>
    <row r="57">
      <c r="A57" s="4">
        <v>144.0</v>
      </c>
      <c r="B57" s="7" t="s">
        <v>16</v>
      </c>
      <c r="C57" s="10">
        <v>47.3</v>
      </c>
      <c r="D57" s="17" t="s">
        <v>43</v>
      </c>
      <c r="F57" s="4">
        <v>140.0</v>
      </c>
      <c r="G57" s="7" t="s">
        <v>16</v>
      </c>
      <c r="H57" s="11">
        <v>46.0</v>
      </c>
      <c r="I57" s="17" t="s">
        <v>43</v>
      </c>
    </row>
    <row r="58">
      <c r="A58" s="6">
        <v>148.0</v>
      </c>
      <c r="B58" s="5" t="s">
        <v>19</v>
      </c>
      <c r="C58" s="10">
        <v>43.4</v>
      </c>
      <c r="D58" s="17" t="s">
        <v>43</v>
      </c>
      <c r="F58" s="6">
        <v>143.0</v>
      </c>
      <c r="G58" s="5" t="s">
        <v>19</v>
      </c>
      <c r="H58" s="11">
        <v>43.8</v>
      </c>
      <c r="I58" s="17" t="s">
        <v>43</v>
      </c>
    </row>
    <row r="59">
      <c r="A59" s="4">
        <v>150.0</v>
      </c>
      <c r="B59" s="7" t="s">
        <v>21</v>
      </c>
      <c r="C59" s="10">
        <v>43.1</v>
      </c>
      <c r="D59" s="17" t="s">
        <v>43</v>
      </c>
      <c r="F59" s="4">
        <v>147.0</v>
      </c>
      <c r="G59" s="7" t="s">
        <v>21</v>
      </c>
      <c r="H59" s="11">
        <v>40.7</v>
      </c>
      <c r="I59" s="19" t="s">
        <v>44</v>
      </c>
    </row>
    <row r="61">
      <c r="A61" s="4"/>
    </row>
  </sheetData>
  <mergeCells count="11">
    <mergeCell ref="A37:D37"/>
    <mergeCell ref="F37:I37"/>
    <mergeCell ref="A49:D49"/>
    <mergeCell ref="F49:I49"/>
    <mergeCell ref="A1:D1"/>
    <mergeCell ref="F1:I1"/>
    <mergeCell ref="K6:N6"/>
    <mergeCell ref="A13:D13"/>
    <mergeCell ref="F13:I13"/>
    <mergeCell ref="A25:D25"/>
    <mergeCell ref="F25:I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40.63"/>
    <col customWidth="1" min="6" max="6" width="29.38"/>
    <col customWidth="1" min="7" max="7" width="45.5"/>
  </cols>
  <sheetData>
    <row r="1">
      <c r="A1" s="1" t="s">
        <v>54</v>
      </c>
      <c r="E1" s="1" t="s">
        <v>55</v>
      </c>
    </row>
    <row r="2">
      <c r="A2" s="9" t="s">
        <v>2</v>
      </c>
      <c r="B2" s="9" t="s">
        <v>56</v>
      </c>
      <c r="C2" s="9" t="s">
        <v>57</v>
      </c>
      <c r="E2" s="9" t="s">
        <v>2</v>
      </c>
      <c r="F2" s="9" t="s">
        <v>58</v>
      </c>
      <c r="G2" s="9" t="s">
        <v>57</v>
      </c>
    </row>
    <row r="3">
      <c r="A3" s="5" t="s">
        <v>17</v>
      </c>
      <c r="B3" s="23">
        <v>-3.4</v>
      </c>
      <c r="C3" s="5" t="s">
        <v>59</v>
      </c>
      <c r="E3" s="5" t="s">
        <v>17</v>
      </c>
      <c r="F3" s="4" t="s">
        <v>60</v>
      </c>
      <c r="G3" s="5" t="s">
        <v>61</v>
      </c>
    </row>
    <row r="4">
      <c r="A4" s="7" t="s">
        <v>19</v>
      </c>
      <c r="B4" s="24" t="s">
        <v>62</v>
      </c>
      <c r="C4" s="7" t="s">
        <v>60</v>
      </c>
      <c r="E4" s="7" t="s">
        <v>19</v>
      </c>
      <c r="F4" s="4" t="s">
        <v>60</v>
      </c>
      <c r="G4" s="7" t="s">
        <v>61</v>
      </c>
    </row>
    <row r="5">
      <c r="A5" s="5" t="s">
        <v>18</v>
      </c>
      <c r="B5" s="25" t="s">
        <v>63</v>
      </c>
      <c r="C5" s="5" t="s">
        <v>64</v>
      </c>
      <c r="E5" s="5" t="s">
        <v>18</v>
      </c>
      <c r="F5" s="4" t="s">
        <v>60</v>
      </c>
      <c r="G5" s="5" t="s">
        <v>61</v>
      </c>
    </row>
    <row r="6">
      <c r="A6" s="7" t="s">
        <v>23</v>
      </c>
      <c r="B6" s="26">
        <v>-2.5</v>
      </c>
      <c r="C6" s="7" t="s">
        <v>65</v>
      </c>
      <c r="E6" s="7" t="s">
        <v>23</v>
      </c>
      <c r="F6" s="4" t="s">
        <v>60</v>
      </c>
      <c r="G6" s="7" t="s">
        <v>61</v>
      </c>
    </row>
    <row r="7">
      <c r="A7" s="5" t="s">
        <v>16</v>
      </c>
      <c r="B7" s="25" t="s">
        <v>66</v>
      </c>
      <c r="C7" s="5" t="s">
        <v>60</v>
      </c>
      <c r="E7" s="5" t="s">
        <v>16</v>
      </c>
      <c r="F7" s="4" t="s">
        <v>60</v>
      </c>
      <c r="G7" s="5" t="s">
        <v>61</v>
      </c>
    </row>
    <row r="8">
      <c r="A8" s="7" t="s">
        <v>20</v>
      </c>
      <c r="B8" s="26">
        <v>-2.1</v>
      </c>
      <c r="C8" s="7" t="s">
        <v>67</v>
      </c>
      <c r="E8" s="7" t="s">
        <v>20</v>
      </c>
      <c r="F8" s="27">
        <v>7.5</v>
      </c>
      <c r="G8" s="7" t="s">
        <v>68</v>
      </c>
    </row>
    <row r="9">
      <c r="A9" s="5" t="s">
        <v>22</v>
      </c>
      <c r="B9" s="23">
        <v>-1.9</v>
      </c>
      <c r="C9" s="5" t="s">
        <v>69</v>
      </c>
      <c r="E9" s="5" t="s">
        <v>22</v>
      </c>
      <c r="F9" s="27">
        <v>6.3</v>
      </c>
      <c r="G9" s="5" t="s">
        <v>70</v>
      </c>
    </row>
    <row r="10">
      <c r="A10" s="7" t="s">
        <v>24</v>
      </c>
      <c r="B10" s="24" t="s">
        <v>71</v>
      </c>
      <c r="C10" s="7" t="s">
        <v>72</v>
      </c>
      <c r="E10" s="7" t="s">
        <v>24</v>
      </c>
      <c r="F10" s="24">
        <v>2.7</v>
      </c>
      <c r="G10" s="7" t="s">
        <v>73</v>
      </c>
    </row>
    <row r="11">
      <c r="A11" s="5" t="s">
        <v>21</v>
      </c>
      <c r="B11" s="25" t="s">
        <v>74</v>
      </c>
      <c r="C11" s="5" t="s">
        <v>60</v>
      </c>
      <c r="E11" s="5" t="s">
        <v>21</v>
      </c>
      <c r="F11" s="4" t="s">
        <v>60</v>
      </c>
      <c r="G11" s="5" t="s">
        <v>61</v>
      </c>
    </row>
    <row r="12">
      <c r="F12" s="28"/>
    </row>
    <row r="13">
      <c r="A13" s="1" t="s">
        <v>75</v>
      </c>
      <c r="E13" s="1" t="s">
        <v>76</v>
      </c>
    </row>
    <row r="14">
      <c r="A14" s="9" t="s">
        <v>2</v>
      </c>
      <c r="B14" s="9" t="s">
        <v>77</v>
      </c>
      <c r="C14" s="9" t="s">
        <v>57</v>
      </c>
      <c r="E14" s="9" t="s">
        <v>2</v>
      </c>
      <c r="F14" s="9" t="s">
        <v>78</v>
      </c>
      <c r="G14" s="9" t="s">
        <v>57</v>
      </c>
    </row>
    <row r="15">
      <c r="A15" s="5" t="s">
        <v>17</v>
      </c>
      <c r="B15" s="23">
        <v>-2.3</v>
      </c>
      <c r="C15" s="5" t="s">
        <v>65</v>
      </c>
      <c r="E15" s="5" t="s">
        <v>17</v>
      </c>
      <c r="F15" s="23">
        <v>-1.6</v>
      </c>
      <c r="G15" s="5" t="s">
        <v>79</v>
      </c>
    </row>
    <row r="16">
      <c r="A16" s="7" t="s">
        <v>19</v>
      </c>
      <c r="B16" s="25">
        <f>+0.1</f>
        <v>0.1</v>
      </c>
      <c r="C16" s="7" t="s">
        <v>80</v>
      </c>
      <c r="E16" s="7" t="s">
        <v>19</v>
      </c>
      <c r="F16" s="4" t="s">
        <v>60</v>
      </c>
      <c r="G16" s="7" t="s">
        <v>61</v>
      </c>
    </row>
    <row r="17">
      <c r="A17" s="5" t="s">
        <v>18</v>
      </c>
      <c r="B17" s="25">
        <f>+1.5</f>
        <v>1.5</v>
      </c>
      <c r="C17" s="5" t="s">
        <v>81</v>
      </c>
      <c r="E17" s="5" t="s">
        <v>18</v>
      </c>
      <c r="F17" s="27" t="s">
        <v>82</v>
      </c>
      <c r="G17" s="5" t="s">
        <v>83</v>
      </c>
    </row>
    <row r="18">
      <c r="A18" s="7" t="s">
        <v>23</v>
      </c>
      <c r="B18" s="23">
        <v>-0.5</v>
      </c>
      <c r="C18" s="7" t="s">
        <v>84</v>
      </c>
      <c r="E18" s="7" t="s">
        <v>23</v>
      </c>
      <c r="F18" s="24" t="s">
        <v>85</v>
      </c>
      <c r="G18" s="7" t="s">
        <v>86</v>
      </c>
    </row>
    <row r="19">
      <c r="A19" s="5" t="s">
        <v>16</v>
      </c>
      <c r="B19" s="25">
        <f>+1</f>
        <v>1</v>
      </c>
      <c r="C19" s="5" t="s">
        <v>87</v>
      </c>
      <c r="E19" s="5" t="s">
        <v>16</v>
      </c>
      <c r="F19" s="4" t="s">
        <v>60</v>
      </c>
      <c r="G19" s="5" t="s">
        <v>61</v>
      </c>
    </row>
    <row r="20">
      <c r="A20" s="7" t="s">
        <v>20</v>
      </c>
      <c r="B20" s="23">
        <v>-0.4</v>
      </c>
      <c r="C20" s="7" t="s">
        <v>88</v>
      </c>
      <c r="E20" s="7" t="s">
        <v>20</v>
      </c>
      <c r="F20" s="6" t="s">
        <v>60</v>
      </c>
      <c r="G20" s="7" t="s">
        <v>89</v>
      </c>
    </row>
    <row r="21">
      <c r="A21" s="5" t="s">
        <v>22</v>
      </c>
      <c r="B21" s="23">
        <v>-2.0</v>
      </c>
      <c r="C21" s="5" t="s">
        <v>90</v>
      </c>
      <c r="E21" s="5" t="s">
        <v>22</v>
      </c>
      <c r="F21" s="27" t="s">
        <v>91</v>
      </c>
      <c r="G21" s="5" t="s">
        <v>92</v>
      </c>
    </row>
    <row r="22">
      <c r="A22" s="7" t="s">
        <v>24</v>
      </c>
      <c r="B22" s="24">
        <f>+0.3</f>
        <v>0.3</v>
      </c>
      <c r="C22" s="7" t="s">
        <v>80</v>
      </c>
      <c r="E22" s="7" t="s">
        <v>24</v>
      </c>
      <c r="F22" s="24" t="s">
        <v>93</v>
      </c>
      <c r="G22" s="7" t="s">
        <v>94</v>
      </c>
    </row>
    <row r="23">
      <c r="A23" s="5" t="s">
        <v>21</v>
      </c>
      <c r="B23" s="23">
        <v>-0.4</v>
      </c>
      <c r="C23" s="5" t="s">
        <v>84</v>
      </c>
      <c r="E23" s="5" t="s">
        <v>21</v>
      </c>
      <c r="F23" s="27" t="s">
        <v>95</v>
      </c>
      <c r="G23" s="5" t="s">
        <v>96</v>
      </c>
    </row>
    <row r="25">
      <c r="A25" s="1" t="s">
        <v>97</v>
      </c>
      <c r="E25" s="1" t="s">
        <v>98</v>
      </c>
    </row>
    <row r="26">
      <c r="A26" s="9" t="s">
        <v>2</v>
      </c>
      <c r="B26" s="9" t="s">
        <v>99</v>
      </c>
      <c r="C26" s="9" t="s">
        <v>57</v>
      </c>
      <c r="E26" s="9" t="s">
        <v>2</v>
      </c>
      <c r="F26" s="9" t="s">
        <v>100</v>
      </c>
      <c r="G26" s="9" t="s">
        <v>57</v>
      </c>
    </row>
    <row r="27">
      <c r="A27" s="5" t="s">
        <v>17</v>
      </c>
      <c r="B27" s="4" t="s">
        <v>60</v>
      </c>
      <c r="C27" s="5" t="s">
        <v>61</v>
      </c>
      <c r="E27" s="5" t="s">
        <v>17</v>
      </c>
      <c r="F27" s="27">
        <f>+2.9</f>
        <v>2.9</v>
      </c>
      <c r="G27" s="5" t="s">
        <v>101</v>
      </c>
    </row>
    <row r="28">
      <c r="A28" s="7" t="s">
        <v>19</v>
      </c>
      <c r="B28" s="6" t="s">
        <v>60</v>
      </c>
      <c r="C28" s="7" t="s">
        <v>61</v>
      </c>
      <c r="E28" s="7" t="s">
        <v>19</v>
      </c>
      <c r="F28" s="24">
        <f>+2.1</f>
        <v>2.1</v>
      </c>
      <c r="G28" s="7" t="s">
        <v>102</v>
      </c>
    </row>
    <row r="29">
      <c r="A29" s="5" t="s">
        <v>18</v>
      </c>
      <c r="B29" s="25" t="s">
        <v>82</v>
      </c>
      <c r="C29" s="5" t="s">
        <v>103</v>
      </c>
      <c r="E29" s="5" t="s">
        <v>18</v>
      </c>
      <c r="F29" s="27">
        <f>+1.6</f>
        <v>1.6</v>
      </c>
      <c r="G29" s="5" t="s">
        <v>104</v>
      </c>
    </row>
    <row r="30">
      <c r="A30" s="7" t="s">
        <v>23</v>
      </c>
      <c r="B30" s="6" t="s">
        <v>60</v>
      </c>
      <c r="C30" s="7" t="s">
        <v>61</v>
      </c>
      <c r="E30" s="7" t="s">
        <v>23</v>
      </c>
      <c r="F30" s="24">
        <f>+1.3</f>
        <v>1.3</v>
      </c>
      <c r="G30" s="7" t="s">
        <v>105</v>
      </c>
    </row>
    <row r="31">
      <c r="A31" s="5" t="s">
        <v>16</v>
      </c>
      <c r="B31" s="4" t="s">
        <v>60</v>
      </c>
      <c r="C31" s="5" t="s">
        <v>61</v>
      </c>
      <c r="E31" s="5" t="s">
        <v>16</v>
      </c>
      <c r="F31" s="4" t="s">
        <v>60</v>
      </c>
      <c r="G31" s="5" t="s">
        <v>61</v>
      </c>
    </row>
    <row r="32">
      <c r="A32" s="7" t="s">
        <v>20</v>
      </c>
      <c r="B32" s="24" t="s">
        <v>106</v>
      </c>
      <c r="C32" s="7" t="s">
        <v>107</v>
      </c>
      <c r="E32" s="7" t="s">
        <v>20</v>
      </c>
      <c r="F32" s="6" t="s">
        <v>60</v>
      </c>
      <c r="G32" s="7" t="s">
        <v>89</v>
      </c>
    </row>
    <row r="33">
      <c r="A33" s="5" t="s">
        <v>22</v>
      </c>
      <c r="B33" s="25" t="s">
        <v>108</v>
      </c>
      <c r="C33" s="5" t="s">
        <v>109</v>
      </c>
      <c r="E33" s="5" t="s">
        <v>22</v>
      </c>
      <c r="F33" s="4" t="s">
        <v>60</v>
      </c>
      <c r="G33" s="5" t="s">
        <v>89</v>
      </c>
    </row>
    <row r="34">
      <c r="A34" s="7" t="s">
        <v>24</v>
      </c>
      <c r="B34" s="24" t="s">
        <v>110</v>
      </c>
      <c r="C34" s="7" t="s">
        <v>111</v>
      </c>
      <c r="E34" s="7" t="s">
        <v>24</v>
      </c>
      <c r="F34" s="6" t="s">
        <v>60</v>
      </c>
      <c r="G34" s="7" t="s">
        <v>89</v>
      </c>
    </row>
    <row r="35">
      <c r="A35" s="5" t="s">
        <v>21</v>
      </c>
      <c r="B35" s="4" t="s">
        <v>60</v>
      </c>
      <c r="C35" s="5" t="s">
        <v>61</v>
      </c>
      <c r="E35" s="5" t="s">
        <v>21</v>
      </c>
      <c r="F35" s="23">
        <v>-1.9</v>
      </c>
      <c r="G35" s="5" t="s">
        <v>112</v>
      </c>
    </row>
    <row r="37">
      <c r="A37" s="1" t="s">
        <v>113</v>
      </c>
      <c r="E37" s="1" t="s">
        <v>114</v>
      </c>
    </row>
    <row r="38">
      <c r="A38" s="9" t="s">
        <v>2</v>
      </c>
      <c r="B38" s="9" t="s">
        <v>115</v>
      </c>
      <c r="C38" s="9" t="s">
        <v>57</v>
      </c>
      <c r="E38" s="9" t="s">
        <v>2</v>
      </c>
      <c r="F38" s="9" t="s">
        <v>116</v>
      </c>
      <c r="G38" s="9" t="s">
        <v>57</v>
      </c>
    </row>
    <row r="39">
      <c r="A39" s="5" t="s">
        <v>17</v>
      </c>
      <c r="B39" s="4" t="s">
        <v>60</v>
      </c>
      <c r="C39" s="5" t="s">
        <v>61</v>
      </c>
      <c r="E39" s="5" t="s">
        <v>17</v>
      </c>
      <c r="F39" s="27">
        <f>+0.5</f>
        <v>0.5</v>
      </c>
      <c r="G39" s="5" t="s">
        <v>117</v>
      </c>
    </row>
    <row r="40">
      <c r="A40" s="7" t="s">
        <v>19</v>
      </c>
      <c r="B40" s="6" t="s">
        <v>60</v>
      </c>
      <c r="C40" s="7" t="s">
        <v>61</v>
      </c>
      <c r="E40" s="7" t="s">
        <v>19</v>
      </c>
      <c r="F40" s="4" t="s">
        <v>60</v>
      </c>
      <c r="G40" s="7" t="s">
        <v>61</v>
      </c>
    </row>
    <row r="41">
      <c r="A41" s="5" t="s">
        <v>18</v>
      </c>
      <c r="B41" s="4" t="s">
        <v>60</v>
      </c>
      <c r="C41" s="5" t="s">
        <v>61</v>
      </c>
      <c r="E41" s="5" t="s">
        <v>18</v>
      </c>
      <c r="F41" s="6" t="s">
        <v>60</v>
      </c>
      <c r="G41" s="5" t="s">
        <v>61</v>
      </c>
    </row>
    <row r="42">
      <c r="A42" s="7" t="s">
        <v>23</v>
      </c>
      <c r="B42" s="26" t="s">
        <v>118</v>
      </c>
      <c r="C42" s="7" t="s">
        <v>119</v>
      </c>
      <c r="E42" s="7" t="s">
        <v>23</v>
      </c>
      <c r="F42" s="24">
        <f>+3.3</f>
        <v>3.3</v>
      </c>
      <c r="G42" s="7" t="s">
        <v>120</v>
      </c>
    </row>
    <row r="43">
      <c r="A43" s="5" t="s">
        <v>16</v>
      </c>
      <c r="B43" s="4" t="s">
        <v>60</v>
      </c>
      <c r="C43" s="5" t="s">
        <v>61</v>
      </c>
      <c r="E43" s="5" t="s">
        <v>16</v>
      </c>
      <c r="F43" s="4" t="s">
        <v>60</v>
      </c>
      <c r="G43" s="5" t="s">
        <v>61</v>
      </c>
    </row>
    <row r="44">
      <c r="A44" s="7" t="s">
        <v>20</v>
      </c>
      <c r="B44" s="6" t="s">
        <v>60</v>
      </c>
      <c r="C44" s="7" t="s">
        <v>61</v>
      </c>
      <c r="E44" s="7" t="s">
        <v>20</v>
      </c>
      <c r="F44" s="6" t="s">
        <v>60</v>
      </c>
      <c r="G44" s="7" t="s">
        <v>89</v>
      </c>
    </row>
    <row r="45">
      <c r="A45" s="5" t="s">
        <v>22</v>
      </c>
      <c r="B45" s="25" t="s">
        <v>85</v>
      </c>
      <c r="C45" s="5" t="s">
        <v>109</v>
      </c>
      <c r="E45" s="5" t="s">
        <v>22</v>
      </c>
      <c r="F45" s="24">
        <f>+0.8</f>
        <v>0.8</v>
      </c>
      <c r="G45" s="5" t="s">
        <v>121</v>
      </c>
    </row>
    <row r="46">
      <c r="A46" s="7" t="s">
        <v>24</v>
      </c>
      <c r="B46" s="24" t="s">
        <v>122</v>
      </c>
      <c r="C46" s="7" t="s">
        <v>61</v>
      </c>
      <c r="E46" s="7" t="s">
        <v>24</v>
      </c>
      <c r="F46" s="24">
        <f>+1.6</f>
        <v>1.6</v>
      </c>
      <c r="G46" s="7" t="s">
        <v>123</v>
      </c>
    </row>
    <row r="47">
      <c r="A47" s="5" t="s">
        <v>21</v>
      </c>
      <c r="B47" s="25" t="s">
        <v>124</v>
      </c>
      <c r="C47" s="5" t="s">
        <v>125</v>
      </c>
      <c r="E47" s="5" t="s">
        <v>21</v>
      </c>
      <c r="F47" s="24">
        <f>+3.5</f>
        <v>3.5</v>
      </c>
      <c r="G47" s="5" t="s">
        <v>126</v>
      </c>
    </row>
    <row r="49">
      <c r="A49" s="1" t="s">
        <v>127</v>
      </c>
      <c r="E49" s="1" t="s">
        <v>128</v>
      </c>
    </row>
    <row r="50">
      <c r="A50" s="9" t="s">
        <v>2</v>
      </c>
      <c r="B50" s="9" t="s">
        <v>129</v>
      </c>
      <c r="C50" s="9" t="s">
        <v>57</v>
      </c>
      <c r="E50" s="9" t="s">
        <v>2</v>
      </c>
      <c r="F50" s="9" t="s">
        <v>130</v>
      </c>
      <c r="G50" s="9" t="s">
        <v>57</v>
      </c>
    </row>
    <row r="51">
      <c r="A51" s="5" t="s">
        <v>17</v>
      </c>
      <c r="B51" s="23">
        <v>-1.7</v>
      </c>
      <c r="C51" s="5" t="s">
        <v>131</v>
      </c>
      <c r="E51" s="5" t="s">
        <v>17</v>
      </c>
      <c r="F51" s="25" t="s">
        <v>132</v>
      </c>
      <c r="G51" s="5" t="s">
        <v>133</v>
      </c>
    </row>
    <row r="52">
      <c r="A52" s="7" t="s">
        <v>19</v>
      </c>
      <c r="B52" s="6" t="s">
        <v>60</v>
      </c>
      <c r="C52" s="7" t="s">
        <v>61</v>
      </c>
      <c r="E52" s="7" t="s">
        <v>19</v>
      </c>
      <c r="F52" s="6">
        <v>0.0</v>
      </c>
      <c r="G52" s="7" t="s">
        <v>60</v>
      </c>
    </row>
    <row r="53">
      <c r="A53" s="5" t="s">
        <v>18</v>
      </c>
      <c r="B53" s="4" t="s">
        <v>60</v>
      </c>
      <c r="C53" s="5" t="s">
        <v>61</v>
      </c>
      <c r="E53" s="5" t="s">
        <v>18</v>
      </c>
      <c r="F53" s="23">
        <v>-1.4</v>
      </c>
      <c r="G53" s="5" t="s">
        <v>60</v>
      </c>
    </row>
    <row r="54">
      <c r="A54" s="7" t="s">
        <v>23</v>
      </c>
      <c r="B54" s="24" t="s">
        <v>134</v>
      </c>
      <c r="C54" s="7" t="s">
        <v>135</v>
      </c>
      <c r="E54" s="7" t="s">
        <v>23</v>
      </c>
      <c r="F54" s="25" t="s">
        <v>132</v>
      </c>
      <c r="G54" s="7" t="s">
        <v>133</v>
      </c>
    </row>
    <row r="55">
      <c r="A55" s="5" t="s">
        <v>16</v>
      </c>
      <c r="B55" s="4" t="s">
        <v>60</v>
      </c>
      <c r="C55" s="5" t="s">
        <v>61</v>
      </c>
      <c r="E55" s="5" t="s">
        <v>16</v>
      </c>
      <c r="F55" s="23">
        <v>-0.1</v>
      </c>
      <c r="G55" s="5" t="s">
        <v>60</v>
      </c>
    </row>
    <row r="56">
      <c r="A56" s="7" t="s">
        <v>20</v>
      </c>
      <c r="B56" s="24" t="s">
        <v>136</v>
      </c>
      <c r="C56" s="7" t="s">
        <v>70</v>
      </c>
      <c r="E56" s="7" t="s">
        <v>20</v>
      </c>
      <c r="F56" s="23">
        <v>-2.4</v>
      </c>
      <c r="G56" s="7" t="s">
        <v>60</v>
      </c>
    </row>
    <row r="57">
      <c r="A57" s="5" t="s">
        <v>22</v>
      </c>
      <c r="B57" s="27" t="s">
        <v>137</v>
      </c>
      <c r="C57" s="5" t="s">
        <v>68</v>
      </c>
      <c r="E57" s="5" t="s">
        <v>22</v>
      </c>
      <c r="F57" s="25" t="s">
        <v>62</v>
      </c>
      <c r="G57" s="5" t="s">
        <v>60</v>
      </c>
    </row>
    <row r="58">
      <c r="A58" s="7" t="s">
        <v>24</v>
      </c>
      <c r="B58" s="6" t="s">
        <v>60</v>
      </c>
      <c r="C58" s="7" t="s">
        <v>61</v>
      </c>
      <c r="E58" s="7" t="s">
        <v>24</v>
      </c>
      <c r="F58" s="24" t="s">
        <v>138</v>
      </c>
      <c r="G58" s="7" t="s">
        <v>60</v>
      </c>
    </row>
    <row r="59">
      <c r="A59" s="5" t="s">
        <v>21</v>
      </c>
      <c r="B59" s="4" t="s">
        <v>60</v>
      </c>
      <c r="C59" s="5" t="s">
        <v>61</v>
      </c>
      <c r="E59" s="5" t="s">
        <v>21</v>
      </c>
      <c r="F59" s="23">
        <v>-0.7</v>
      </c>
      <c r="G59" s="5" t="s">
        <v>60</v>
      </c>
    </row>
    <row r="60">
      <c r="B60" s="23"/>
    </row>
  </sheetData>
  <mergeCells count="10">
    <mergeCell ref="A37:C37"/>
    <mergeCell ref="A49:C49"/>
    <mergeCell ref="E49:G49"/>
    <mergeCell ref="A1:C1"/>
    <mergeCell ref="E1:G1"/>
    <mergeCell ref="A13:C13"/>
    <mergeCell ref="E13:G13"/>
    <mergeCell ref="A25:C25"/>
    <mergeCell ref="E25:G25"/>
    <mergeCell ref="E37:G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47.5"/>
    <col customWidth="1" min="5" max="5" width="13.63"/>
    <col customWidth="1" min="6" max="6" width="30.0"/>
    <col customWidth="1" min="7" max="7" width="17.5"/>
  </cols>
  <sheetData>
    <row r="1">
      <c r="A1" s="1" t="s">
        <v>139</v>
      </c>
      <c r="E1" s="1" t="s">
        <v>140</v>
      </c>
    </row>
    <row r="2">
      <c r="A2" s="9" t="s">
        <v>2</v>
      </c>
      <c r="B2" s="9" t="s">
        <v>141</v>
      </c>
      <c r="C2" s="9" t="s">
        <v>37</v>
      </c>
      <c r="E2" s="9" t="s">
        <v>2</v>
      </c>
      <c r="F2" s="9" t="s">
        <v>141</v>
      </c>
      <c r="G2" s="9" t="s">
        <v>37</v>
      </c>
    </row>
    <row r="3">
      <c r="A3" s="5" t="s">
        <v>20</v>
      </c>
      <c r="B3" s="29" t="s">
        <v>142</v>
      </c>
      <c r="C3" s="30" t="s">
        <v>143</v>
      </c>
      <c r="E3" s="5" t="s">
        <v>20</v>
      </c>
      <c r="F3" s="29" t="s">
        <v>144</v>
      </c>
      <c r="G3" s="31" t="s">
        <v>145</v>
      </c>
    </row>
    <row r="4">
      <c r="A4" s="7" t="s">
        <v>22</v>
      </c>
      <c r="B4" s="29" t="s">
        <v>146</v>
      </c>
      <c r="C4" s="31" t="s">
        <v>145</v>
      </c>
      <c r="E4" s="7" t="s">
        <v>22</v>
      </c>
      <c r="F4" s="32" t="s">
        <v>147</v>
      </c>
      <c r="G4" s="31" t="s">
        <v>145</v>
      </c>
    </row>
    <row r="5">
      <c r="A5" s="5" t="s">
        <v>24</v>
      </c>
      <c r="B5" s="29" t="s">
        <v>148</v>
      </c>
      <c r="C5" s="31" t="s">
        <v>145</v>
      </c>
      <c r="E5" s="5" t="s">
        <v>24</v>
      </c>
      <c r="F5" s="29" t="s">
        <v>149</v>
      </c>
      <c r="G5" s="30" t="s">
        <v>143</v>
      </c>
    </row>
    <row r="6">
      <c r="A6" s="7" t="s">
        <v>18</v>
      </c>
      <c r="B6" s="29" t="s">
        <v>150</v>
      </c>
      <c r="C6" s="33" t="s">
        <v>151</v>
      </c>
      <c r="E6" s="7" t="s">
        <v>18</v>
      </c>
      <c r="F6" s="32" t="s">
        <v>149</v>
      </c>
      <c r="G6" s="30" t="s">
        <v>143</v>
      </c>
    </row>
    <row r="7">
      <c r="A7" s="5" t="s">
        <v>19</v>
      </c>
      <c r="B7" s="29" t="s">
        <v>93</v>
      </c>
      <c r="C7" s="33" t="s">
        <v>152</v>
      </c>
      <c r="E7" s="5" t="s">
        <v>19</v>
      </c>
      <c r="F7" s="29" t="s">
        <v>153</v>
      </c>
      <c r="G7" s="33" t="s">
        <v>151</v>
      </c>
    </row>
    <row r="8">
      <c r="A8" s="7" t="s">
        <v>16</v>
      </c>
      <c r="B8" s="29" t="s">
        <v>154</v>
      </c>
      <c r="C8" s="33" t="s">
        <v>151</v>
      </c>
      <c r="E8" s="7" t="s">
        <v>16</v>
      </c>
      <c r="F8" s="32" t="s">
        <v>155</v>
      </c>
      <c r="G8" s="33" t="s">
        <v>151</v>
      </c>
    </row>
    <row r="9">
      <c r="A9" s="5" t="s">
        <v>23</v>
      </c>
      <c r="B9" s="34">
        <v>-2.6</v>
      </c>
      <c r="C9" s="35" t="s">
        <v>156</v>
      </c>
      <c r="E9" s="5" t="s">
        <v>23</v>
      </c>
      <c r="F9" s="34">
        <v>-2.6</v>
      </c>
      <c r="G9" s="35" t="s">
        <v>156</v>
      </c>
    </row>
    <row r="10">
      <c r="A10" s="7" t="s">
        <v>17</v>
      </c>
      <c r="B10" s="34">
        <v>-5.5</v>
      </c>
      <c r="C10" s="35" t="s">
        <v>157</v>
      </c>
      <c r="E10" s="7" t="s">
        <v>17</v>
      </c>
      <c r="F10" s="34">
        <v>-0.5</v>
      </c>
      <c r="G10" s="35" t="s">
        <v>158</v>
      </c>
    </row>
    <row r="11">
      <c r="A11" s="5" t="s">
        <v>21</v>
      </c>
      <c r="B11" s="29" t="s">
        <v>122</v>
      </c>
      <c r="C11" s="33" t="s">
        <v>152</v>
      </c>
      <c r="E11" s="5" t="s">
        <v>21</v>
      </c>
      <c r="F11" s="29" t="s">
        <v>159</v>
      </c>
      <c r="G11" s="33" t="s">
        <v>151</v>
      </c>
    </row>
    <row r="13">
      <c r="A13" s="1" t="s">
        <v>160</v>
      </c>
      <c r="E13" s="1" t="s">
        <v>161</v>
      </c>
    </row>
    <row r="14">
      <c r="A14" s="9" t="s">
        <v>2</v>
      </c>
      <c r="B14" s="9" t="s">
        <v>141</v>
      </c>
      <c r="C14" s="9" t="s">
        <v>37</v>
      </c>
      <c r="E14" s="9" t="s">
        <v>2</v>
      </c>
      <c r="F14" s="9" t="s">
        <v>141</v>
      </c>
      <c r="G14" s="9" t="s">
        <v>37</v>
      </c>
    </row>
    <row r="15">
      <c r="A15" s="5" t="s">
        <v>20</v>
      </c>
      <c r="B15" s="29" t="s">
        <v>162</v>
      </c>
      <c r="C15" s="31" t="s">
        <v>163</v>
      </c>
      <c r="E15" s="5" t="s">
        <v>20</v>
      </c>
      <c r="F15" s="27" t="s">
        <v>164</v>
      </c>
      <c r="G15" s="31" t="s">
        <v>145</v>
      </c>
    </row>
    <row r="16">
      <c r="A16" s="7" t="s">
        <v>22</v>
      </c>
      <c r="B16" s="29" t="s">
        <v>165</v>
      </c>
      <c r="C16" s="31" t="s">
        <v>166</v>
      </c>
      <c r="E16" s="7" t="s">
        <v>22</v>
      </c>
      <c r="F16" s="24" t="s">
        <v>167</v>
      </c>
      <c r="G16" s="31" t="s">
        <v>145</v>
      </c>
    </row>
    <row r="17">
      <c r="A17" s="5" t="s">
        <v>24</v>
      </c>
      <c r="B17" s="4" t="s">
        <v>60</v>
      </c>
      <c r="C17" s="35" t="s">
        <v>168</v>
      </c>
      <c r="E17" s="5" t="s">
        <v>24</v>
      </c>
      <c r="F17" s="27" t="s">
        <v>169</v>
      </c>
      <c r="G17" s="31" t="s">
        <v>145</v>
      </c>
    </row>
    <row r="18">
      <c r="A18" s="7" t="s">
        <v>18</v>
      </c>
      <c r="B18" s="29" t="s">
        <v>170</v>
      </c>
      <c r="C18" s="30" t="s">
        <v>171</v>
      </c>
      <c r="E18" s="7" t="s">
        <v>18</v>
      </c>
      <c r="F18" s="24" t="s">
        <v>172</v>
      </c>
      <c r="G18" s="36" t="s">
        <v>143</v>
      </c>
    </row>
    <row r="19">
      <c r="A19" s="5" t="s">
        <v>19</v>
      </c>
      <c r="B19" s="4" t="s">
        <v>60</v>
      </c>
      <c r="C19" s="35" t="s">
        <v>168</v>
      </c>
      <c r="E19" s="5" t="s">
        <v>19</v>
      </c>
      <c r="F19" s="27" t="s">
        <v>173</v>
      </c>
      <c r="G19" s="33" t="s">
        <v>151</v>
      </c>
    </row>
    <row r="20">
      <c r="A20" s="7" t="s">
        <v>16</v>
      </c>
      <c r="B20" s="4" t="s">
        <v>60</v>
      </c>
      <c r="C20" s="35" t="s">
        <v>168</v>
      </c>
      <c r="E20" s="7" t="s">
        <v>16</v>
      </c>
      <c r="F20" s="24" t="s">
        <v>174</v>
      </c>
      <c r="G20" s="36" t="s">
        <v>151</v>
      </c>
    </row>
    <row r="21">
      <c r="A21" s="5" t="s">
        <v>23</v>
      </c>
      <c r="B21" s="4" t="s">
        <v>60</v>
      </c>
      <c r="C21" s="35" t="s">
        <v>168</v>
      </c>
      <c r="E21" s="5" t="s">
        <v>23</v>
      </c>
      <c r="F21" s="27" t="s">
        <v>175</v>
      </c>
      <c r="G21" s="37" t="s">
        <v>152</v>
      </c>
    </row>
    <row r="22">
      <c r="A22" s="7" t="s">
        <v>17</v>
      </c>
      <c r="B22" s="4" t="s">
        <v>60</v>
      </c>
      <c r="C22" s="35" t="s">
        <v>168</v>
      </c>
      <c r="E22" s="7" t="s">
        <v>17</v>
      </c>
      <c r="F22" s="34">
        <v>-1.6</v>
      </c>
      <c r="G22" s="35" t="s">
        <v>156</v>
      </c>
    </row>
    <row r="23">
      <c r="A23" s="5" t="s">
        <v>21</v>
      </c>
      <c r="B23" s="4" t="s">
        <v>60</v>
      </c>
      <c r="C23" s="35" t="s">
        <v>168</v>
      </c>
      <c r="E23" s="5" t="s">
        <v>21</v>
      </c>
      <c r="F23" s="27" t="s">
        <v>95</v>
      </c>
      <c r="G23" s="30" t="s">
        <v>152</v>
      </c>
    </row>
    <row r="24">
      <c r="B24" s="11" t="s">
        <v>176</v>
      </c>
    </row>
    <row r="25">
      <c r="A25" s="1" t="s">
        <v>177</v>
      </c>
      <c r="E25" s="1" t="s">
        <v>178</v>
      </c>
    </row>
    <row r="26">
      <c r="A26" s="9" t="s">
        <v>2</v>
      </c>
      <c r="B26" s="9" t="s">
        <v>141</v>
      </c>
      <c r="C26" s="9" t="s">
        <v>37</v>
      </c>
      <c r="E26" s="9" t="s">
        <v>2</v>
      </c>
      <c r="F26" s="9" t="s">
        <v>141</v>
      </c>
      <c r="G26" s="9" t="s">
        <v>37</v>
      </c>
    </row>
    <row r="27">
      <c r="A27" s="5" t="s">
        <v>20</v>
      </c>
      <c r="B27" s="29">
        <f>15.6</f>
        <v>15.6</v>
      </c>
      <c r="C27" s="31" t="s">
        <v>179</v>
      </c>
      <c r="E27" s="5" t="s">
        <v>20</v>
      </c>
      <c r="F27" s="27">
        <f>+27</f>
        <v>27</v>
      </c>
      <c r="G27" s="31" t="s">
        <v>145</v>
      </c>
    </row>
    <row r="28">
      <c r="A28" s="7" t="s">
        <v>22</v>
      </c>
      <c r="B28" s="4" t="s">
        <v>60</v>
      </c>
      <c r="C28" s="31" t="s">
        <v>166</v>
      </c>
      <c r="E28" s="7" t="s">
        <v>22</v>
      </c>
      <c r="F28" s="24">
        <f>+22</f>
        <v>22</v>
      </c>
      <c r="G28" s="36" t="s">
        <v>145</v>
      </c>
    </row>
    <row r="29">
      <c r="A29" s="5" t="s">
        <v>24</v>
      </c>
      <c r="B29" s="29">
        <f>+11.6</f>
        <v>11.6</v>
      </c>
      <c r="C29" s="35" t="s">
        <v>180</v>
      </c>
      <c r="E29" s="5" t="s">
        <v>24</v>
      </c>
      <c r="F29" s="27">
        <f>+17.9</f>
        <v>17.9</v>
      </c>
      <c r="G29" s="31" t="s">
        <v>145</v>
      </c>
    </row>
    <row r="30">
      <c r="A30" s="7" t="s">
        <v>18</v>
      </c>
      <c r="B30" s="4" t="s">
        <v>60</v>
      </c>
      <c r="C30" s="30" t="s">
        <v>171</v>
      </c>
      <c r="E30" s="7" t="s">
        <v>18</v>
      </c>
      <c r="F30" s="24">
        <f>+14</f>
        <v>14</v>
      </c>
      <c r="G30" s="36" t="s">
        <v>143</v>
      </c>
      <c r="I30" s="1"/>
    </row>
    <row r="31">
      <c r="A31" s="5" t="s">
        <v>19</v>
      </c>
      <c r="B31" s="29">
        <f>+8.7</f>
        <v>8.7</v>
      </c>
      <c r="C31" s="35" t="s">
        <v>181</v>
      </c>
      <c r="E31" s="5" t="s">
        <v>19</v>
      </c>
      <c r="F31" s="27">
        <f>+8.1</f>
        <v>8.1</v>
      </c>
      <c r="G31" s="33" t="s">
        <v>151</v>
      </c>
      <c r="I31" s="16"/>
      <c r="J31" s="16"/>
      <c r="K31" s="16"/>
    </row>
    <row r="32">
      <c r="A32" s="7" t="s">
        <v>16</v>
      </c>
      <c r="B32" s="4" t="s">
        <v>60</v>
      </c>
      <c r="C32" s="35" t="s">
        <v>168</v>
      </c>
      <c r="E32" s="7" t="s">
        <v>16</v>
      </c>
      <c r="F32" s="24">
        <f>+6.8</f>
        <v>6.8</v>
      </c>
      <c r="G32" s="36" t="s">
        <v>151</v>
      </c>
      <c r="I32" s="5"/>
      <c r="J32" s="29"/>
      <c r="K32" s="38"/>
    </row>
    <row r="33">
      <c r="A33" s="5" t="s">
        <v>23</v>
      </c>
      <c r="B33" s="4" t="s">
        <v>60</v>
      </c>
      <c r="C33" s="35" t="s">
        <v>168</v>
      </c>
      <c r="E33" s="5" t="s">
        <v>23</v>
      </c>
      <c r="F33" s="27">
        <f>+3.1</f>
        <v>3.1</v>
      </c>
      <c r="G33" s="37" t="s">
        <v>182</v>
      </c>
      <c r="I33" s="5"/>
      <c r="J33" s="29"/>
      <c r="K33" s="38"/>
    </row>
    <row r="34">
      <c r="A34" s="7" t="s">
        <v>17</v>
      </c>
      <c r="B34" s="4" t="s">
        <v>60</v>
      </c>
      <c r="C34" s="35" t="s">
        <v>168</v>
      </c>
      <c r="E34" s="7" t="s">
        <v>17</v>
      </c>
      <c r="F34" s="24">
        <f>+1.3</f>
        <v>1.3</v>
      </c>
      <c r="G34" s="30" t="s">
        <v>152</v>
      </c>
      <c r="I34" s="5"/>
      <c r="J34" s="29"/>
      <c r="K34" s="38"/>
    </row>
    <row r="35">
      <c r="A35" s="5" t="s">
        <v>21</v>
      </c>
      <c r="B35" s="4" t="s">
        <v>60</v>
      </c>
      <c r="C35" s="35" t="s">
        <v>168</v>
      </c>
      <c r="E35" s="5" t="s">
        <v>21</v>
      </c>
      <c r="F35" s="34">
        <v>-1.3</v>
      </c>
      <c r="G35" s="35" t="s">
        <v>156</v>
      </c>
      <c r="I35" s="5"/>
      <c r="J35" s="29"/>
      <c r="K35" s="38"/>
    </row>
    <row r="36">
      <c r="I36" s="5"/>
      <c r="J36" s="29"/>
      <c r="K36" s="38"/>
    </row>
    <row r="37">
      <c r="A37" s="1" t="s">
        <v>183</v>
      </c>
      <c r="E37" s="1" t="s">
        <v>184</v>
      </c>
      <c r="I37" s="5"/>
      <c r="J37" s="29"/>
      <c r="K37" s="38"/>
    </row>
    <row r="38">
      <c r="A38" s="9" t="s">
        <v>2</v>
      </c>
      <c r="B38" s="9" t="s">
        <v>141</v>
      </c>
      <c r="C38" s="9" t="s">
        <v>37</v>
      </c>
      <c r="E38" s="9" t="s">
        <v>2</v>
      </c>
      <c r="F38" s="9" t="s">
        <v>141</v>
      </c>
      <c r="G38" s="9" t="s">
        <v>37</v>
      </c>
      <c r="I38" s="5"/>
      <c r="J38" s="29"/>
      <c r="K38" s="38"/>
    </row>
    <row r="39">
      <c r="A39" s="5" t="s">
        <v>20</v>
      </c>
      <c r="B39" s="29">
        <f>+14.5</f>
        <v>14.5</v>
      </c>
      <c r="C39" s="31" t="s">
        <v>185</v>
      </c>
      <c r="E39" s="5" t="s">
        <v>20</v>
      </c>
      <c r="F39" s="29">
        <v>24.6</v>
      </c>
      <c r="G39" s="31" t="s">
        <v>186</v>
      </c>
      <c r="I39" s="5"/>
      <c r="J39" s="29"/>
      <c r="K39" s="39"/>
    </row>
    <row r="40">
      <c r="A40" s="7" t="s">
        <v>22</v>
      </c>
      <c r="B40" s="32">
        <f>+7.3</f>
        <v>7.3</v>
      </c>
      <c r="C40" s="31" t="s">
        <v>145</v>
      </c>
      <c r="E40" s="7" t="s">
        <v>22</v>
      </c>
      <c r="F40" s="32">
        <v>21.3</v>
      </c>
      <c r="G40" s="31" t="s">
        <v>145</v>
      </c>
      <c r="I40" s="5"/>
      <c r="J40" s="34"/>
      <c r="K40" s="39"/>
    </row>
    <row r="41">
      <c r="A41" s="5" t="s">
        <v>24</v>
      </c>
      <c r="B41" s="29">
        <f>+11.6</f>
        <v>11.6</v>
      </c>
      <c r="C41" s="30" t="s">
        <v>143</v>
      </c>
      <c r="E41" s="5" t="s">
        <v>24</v>
      </c>
      <c r="F41" s="29">
        <v>17.3</v>
      </c>
      <c r="G41" s="31" t="s">
        <v>145</v>
      </c>
    </row>
    <row r="42">
      <c r="A42" s="7" t="s">
        <v>18</v>
      </c>
      <c r="B42" s="4" t="s">
        <v>60</v>
      </c>
      <c r="C42" s="35" t="s">
        <v>168</v>
      </c>
      <c r="E42" s="7" t="s">
        <v>18</v>
      </c>
      <c r="F42" s="32">
        <v>9.9</v>
      </c>
      <c r="G42" s="37" t="s">
        <v>182</v>
      </c>
    </row>
    <row r="43">
      <c r="A43" s="5" t="s">
        <v>19</v>
      </c>
      <c r="B43" s="4" t="s">
        <v>60</v>
      </c>
      <c r="C43" s="35" t="s">
        <v>168</v>
      </c>
      <c r="E43" s="5" t="s">
        <v>19</v>
      </c>
      <c r="F43" s="29">
        <v>3.9</v>
      </c>
      <c r="G43" s="33" t="s">
        <v>151</v>
      </c>
    </row>
    <row r="44">
      <c r="A44" s="7" t="s">
        <v>16</v>
      </c>
      <c r="B44" s="4" t="s">
        <v>60</v>
      </c>
      <c r="C44" s="35" t="s">
        <v>168</v>
      </c>
      <c r="E44" s="7" t="s">
        <v>16</v>
      </c>
      <c r="F44" s="32">
        <v>4.7</v>
      </c>
      <c r="G44" s="33" t="s">
        <v>151</v>
      </c>
    </row>
    <row r="45">
      <c r="A45" s="5" t="s">
        <v>23</v>
      </c>
      <c r="B45" s="4" t="s">
        <v>60</v>
      </c>
      <c r="C45" s="35" t="s">
        <v>168</v>
      </c>
      <c r="E45" s="5" t="s">
        <v>23</v>
      </c>
      <c r="F45" s="29">
        <v>8.3</v>
      </c>
      <c r="G45" s="37" t="s">
        <v>182</v>
      </c>
    </row>
    <row r="46">
      <c r="A46" s="7" t="s">
        <v>17</v>
      </c>
      <c r="B46" s="4" t="s">
        <v>60</v>
      </c>
      <c r="C46" s="35" t="s">
        <v>168</v>
      </c>
      <c r="E46" s="7" t="s">
        <v>17</v>
      </c>
      <c r="F46" s="32">
        <v>1.1</v>
      </c>
      <c r="G46" s="30" t="s">
        <v>152</v>
      </c>
    </row>
    <row r="47">
      <c r="A47" s="5" t="s">
        <v>21</v>
      </c>
      <c r="B47" s="4" t="s">
        <v>60</v>
      </c>
      <c r="C47" s="35" t="s">
        <v>168</v>
      </c>
      <c r="E47" s="5" t="s">
        <v>21</v>
      </c>
      <c r="F47" s="34">
        <v>-0.2</v>
      </c>
      <c r="G47" s="35" t="s">
        <v>156</v>
      </c>
    </row>
    <row r="49">
      <c r="A49" s="1" t="s">
        <v>187</v>
      </c>
      <c r="E49" s="1" t="s">
        <v>188</v>
      </c>
    </row>
    <row r="50">
      <c r="A50" s="9" t="s">
        <v>2</v>
      </c>
      <c r="B50" s="9" t="s">
        <v>141</v>
      </c>
      <c r="C50" s="9" t="s">
        <v>37</v>
      </c>
      <c r="E50" s="9" t="s">
        <v>2</v>
      </c>
      <c r="F50" s="9" t="s">
        <v>141</v>
      </c>
      <c r="G50" s="9" t="s">
        <v>37</v>
      </c>
    </row>
    <row r="51">
      <c r="A51" s="5" t="s">
        <v>20</v>
      </c>
      <c r="B51" s="29" t="s">
        <v>147</v>
      </c>
      <c r="C51" s="31" t="s">
        <v>145</v>
      </c>
      <c r="E51" s="5" t="s">
        <v>20</v>
      </c>
      <c r="F51" s="29" t="s">
        <v>189</v>
      </c>
      <c r="G51" s="31" t="s">
        <v>145</v>
      </c>
    </row>
    <row r="52">
      <c r="A52" s="7" t="s">
        <v>22</v>
      </c>
      <c r="B52" s="32" t="s">
        <v>190</v>
      </c>
      <c r="C52" s="31" t="s">
        <v>145</v>
      </c>
      <c r="E52" s="7" t="s">
        <v>22</v>
      </c>
      <c r="F52" s="29" t="s">
        <v>191</v>
      </c>
      <c r="G52" s="31" t="s">
        <v>145</v>
      </c>
    </row>
    <row r="53">
      <c r="A53" s="5" t="s">
        <v>24</v>
      </c>
      <c r="B53" s="29" t="s">
        <v>192</v>
      </c>
      <c r="C53" s="30" t="s">
        <v>143</v>
      </c>
      <c r="E53" s="5" t="s">
        <v>24</v>
      </c>
      <c r="F53" s="29" t="s">
        <v>193</v>
      </c>
      <c r="G53" s="31" t="s">
        <v>145</v>
      </c>
    </row>
    <row r="54">
      <c r="A54" s="7" t="s">
        <v>18</v>
      </c>
      <c r="B54" s="32" t="s">
        <v>194</v>
      </c>
      <c r="C54" s="31" t="s">
        <v>145</v>
      </c>
      <c r="E54" s="7" t="s">
        <v>18</v>
      </c>
      <c r="F54" s="29" t="s">
        <v>195</v>
      </c>
      <c r="G54" s="33" t="s">
        <v>151</v>
      </c>
    </row>
    <row r="55">
      <c r="A55" s="5" t="s">
        <v>19</v>
      </c>
      <c r="B55" s="29" t="s">
        <v>196</v>
      </c>
      <c r="C55" s="33" t="s">
        <v>152</v>
      </c>
      <c r="E55" s="5" t="s">
        <v>19</v>
      </c>
      <c r="F55" s="34">
        <v>-0.4</v>
      </c>
      <c r="G55" s="35" t="s">
        <v>156</v>
      </c>
    </row>
    <row r="56">
      <c r="A56" s="7" t="s">
        <v>16</v>
      </c>
      <c r="B56" s="32" t="s">
        <v>197</v>
      </c>
      <c r="C56" s="33" t="s">
        <v>151</v>
      </c>
      <c r="E56" s="7" t="s">
        <v>16</v>
      </c>
      <c r="F56" s="29" t="s">
        <v>198</v>
      </c>
      <c r="G56" s="33" t="s">
        <v>151</v>
      </c>
    </row>
    <row r="57">
      <c r="A57" s="5" t="s">
        <v>23</v>
      </c>
      <c r="B57" s="34">
        <v>-4.5</v>
      </c>
      <c r="C57" s="35" t="s">
        <v>157</v>
      </c>
      <c r="E57" s="5" t="s">
        <v>23</v>
      </c>
      <c r="F57" s="29" t="s">
        <v>199</v>
      </c>
      <c r="G57" s="30" t="s">
        <v>143</v>
      </c>
    </row>
    <row r="58">
      <c r="A58" s="7" t="s">
        <v>17</v>
      </c>
      <c r="B58" s="34">
        <v>-1.7</v>
      </c>
      <c r="C58" s="35" t="s">
        <v>156</v>
      </c>
      <c r="E58" s="7" t="s">
        <v>17</v>
      </c>
      <c r="F58" s="29" t="s">
        <v>200</v>
      </c>
      <c r="G58" s="33" t="s">
        <v>151</v>
      </c>
    </row>
    <row r="59">
      <c r="A59" s="5" t="s">
        <v>21</v>
      </c>
      <c r="B59" s="32" t="s">
        <v>136</v>
      </c>
      <c r="C59" s="33" t="s">
        <v>151</v>
      </c>
      <c r="E59" s="5" t="s">
        <v>21</v>
      </c>
      <c r="F59" s="34">
        <v>-2.6</v>
      </c>
      <c r="G59" s="35" t="s">
        <v>158</v>
      </c>
    </row>
  </sheetData>
  <mergeCells count="12">
    <mergeCell ref="A25:C25"/>
    <mergeCell ref="A37:C37"/>
    <mergeCell ref="E37:G37"/>
    <mergeCell ref="A49:C49"/>
    <mergeCell ref="E49:G49"/>
    <mergeCell ref="A1:C1"/>
    <mergeCell ref="E1:G1"/>
    <mergeCell ref="A13:C13"/>
    <mergeCell ref="E13:G13"/>
    <mergeCell ref="B24:C24"/>
    <mergeCell ref="E25:G25"/>
    <mergeCell ref="I30:K30"/>
  </mergeCells>
  <drawing r:id="rId1"/>
</worksheet>
</file>